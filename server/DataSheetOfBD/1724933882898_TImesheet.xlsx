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883146-68B3-48D6-BAC3-E0D004A021F6}" xr6:coauthVersionLast="47" xr6:coauthVersionMax="47" xr10:uidLastSave="{00000000-0000-0000-0000-000000000000}"/>
  <bookViews>
    <workbookView xWindow="-120" yWindow="-120" windowWidth="24240" windowHeight="137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10" i="2"/>
  <c r="O130" i="1"/>
  <c r="Q130" i="1"/>
  <c r="R130" i="1"/>
  <c r="S130" i="1"/>
  <c r="N130" i="1"/>
  <c r="A54" i="1"/>
  <c r="B54" i="1"/>
  <c r="E54" i="1"/>
  <c r="C54" i="1"/>
  <c r="T130" i="1" l="1"/>
</calcChain>
</file>

<file path=xl/sharedStrings.xml><?xml version="1.0" encoding="utf-8"?>
<sst xmlns="http://schemas.openxmlformats.org/spreadsheetml/2006/main" count="195" uniqueCount="160">
  <si>
    <t xml:space="preserve">project </t>
  </si>
  <si>
    <t>Understanding</t>
  </si>
  <si>
    <t>Devlopment &amp; Design</t>
  </si>
  <si>
    <t>Meeting</t>
  </si>
  <si>
    <t>research</t>
  </si>
  <si>
    <t>total</t>
  </si>
  <si>
    <t>JD</t>
  </si>
  <si>
    <t>romin</t>
  </si>
  <si>
    <t>hetal</t>
  </si>
  <si>
    <t>sarkar</t>
  </si>
  <si>
    <t>aditya</t>
  </si>
  <si>
    <t>subhojit</t>
  </si>
  <si>
    <t>aditya jain</t>
  </si>
  <si>
    <t>mihir</t>
  </si>
  <si>
    <t>chandrabhanu</t>
  </si>
  <si>
    <t>komal</t>
  </si>
  <si>
    <t>Sessions</t>
  </si>
  <si>
    <t>Barc</t>
  </si>
  <si>
    <t>TOTAL</t>
  </si>
  <si>
    <t>Smart Building</t>
  </si>
  <si>
    <t>Smart Inventory</t>
  </si>
  <si>
    <t>Smart Asset(Machine)</t>
  </si>
  <si>
    <t>Healthcare</t>
  </si>
  <si>
    <t>nayan</t>
  </si>
  <si>
    <t>understanging</t>
  </si>
  <si>
    <t>meeting</t>
  </si>
  <si>
    <t>dev</t>
  </si>
  <si>
    <t>Deployment</t>
  </si>
  <si>
    <t>—&gt; Meeting with JD and Romin for understanding of project.(Till 2 modules)</t>
  </si>
  <si>
    <t>—&gt; Understand the last module and started research according to that.</t>
  </si>
  <si>
    <t>—&gt; Explored schema designs and database</t>
  </si>
  <si>
    <t>—&gt;created gitlab setup and starts development</t>
  </si>
  <si>
    <t>—&gt;Backend setup and created server for backend</t>
  </si>
  <si>
    <t>—&gt; WorkOrder Schema created with references</t>
  </si>
  <si>
    <t>—&gt;Middleware setup and catchasync errors handled</t>
  </si>
  <si>
    <t>—&gt;Login API created</t>
  </si>
  <si>
    <t>—&gt; Error and response handlers added</t>
  </si>
  <si>
    <t>Admin</t>
  </si>
  <si>
    <t>—&gt; Auto Increment function implemented for WO</t>
  </si>
  <si>
    <t>—&gt;Conflicts resolves and error handling in global execution</t>
  </si>
  <si>
    <t>—&gt; Understanding of react structure and divided the tasks</t>
  </si>
  <si>
    <t>—&gt;Explored Modal of Bootstrap and implemented the same.</t>
  </si>
  <si>
    <t>—&gt; Created a dummy modal for learning purpose.</t>
  </si>
  <si>
    <t>—&gt;Created add user form in frontend and implemented it’s APIs in Backend</t>
  </si>
  <si>
    <t>—&gt; Switched modal MUI from Bootstrap because of conflicts.</t>
  </si>
  <si>
    <t>—&gt; Explored MUI modal and convert existing code.</t>
  </si>
  <si>
    <t>—&gt;Created APIs for updating user and learn populate for query.</t>
  </si>
  <si>
    <t>—&gt;Found Cryptr Package for password management</t>
  </si>
  <si>
    <t>—&gt;Explored Material table for this project’s exe, Created dummy table for the same.</t>
  </si>
  <si>
    <t>—&gt;Created Table for showing all the users for admin</t>
  </si>
  <si>
    <t>—&gt;Customized that table corresponding my use.</t>
  </si>
  <si>
    <t>—&gt;Implement another modal for the edit user where old password will be shown.</t>
  </si>
  <si>
    <t>—&gt;resolve the errors in the module and completed the user management part.</t>
  </si>
  <si>
    <t>—&gt; Table implemented in Bootstrap.</t>
  </si>
  <si>
    <t>-</t>
  </si>
  <si>
    <t>ON LEAVE</t>
  </si>
  <si>
    <t>—&gt; Table Converted to MUI.</t>
  </si>
  <si>
    <t>—&gt; User Editing Implemented in Table</t>
  </si>
  <si>
    <t>—&gt; User Management tested</t>
  </si>
  <si>
    <t>—&gt; Errors resolve that had come while testing.</t>
  </si>
  <si>
    <t>—&gt; Update user query changed</t>
  </si>
  <si>
    <t>—&gt;Deployment Of Nayan’s Task</t>
  </si>
  <si>
    <t>—&gt; Completed the Deployment with help of sarkar.</t>
  </si>
  <si>
    <t>—&gt;Implemented redux and converted existing code to redux.</t>
  </si>
  <si>
    <t>—&gt;User delete option added in table.</t>
  </si>
  <si>
    <t>WO</t>
  </si>
  <si>
    <t>—&gt; Created Wo form with validation in react-hook-form</t>
  </si>
  <si>
    <t>—&gt; Wo Count added in modal</t>
  </si>
  <si>
    <t>Wo</t>
  </si>
  <si>
    <t>—&gt; CRUD API of WO, WO count API created.</t>
  </si>
  <si>
    <t>—&gt; Integrated WO form with backend</t>
  </si>
  <si>
    <t>Review Meet - 1</t>
  </si>
  <si>
    <t>—&gt;Date and Time Added with format</t>
  </si>
  <si>
    <t>—&gt; CSV download of table</t>
  </si>
  <si>
    <t>—&gt; Changes suggested after review meet</t>
  </si>
  <si>
    <t>—&gt;Export whole CSV form table</t>
  </si>
  <si>
    <t>—&gt; converted CSV data to json</t>
  </si>
  <si>
    <t>—&gt;Changes in Fetched wo by group</t>
  </si>
  <si>
    <t>—&gt;group wise Wo rendering and views of table changed</t>
  </si>
  <si>
    <t>—&gt;connected Changed API to table for data</t>
  </si>
  <si>
    <t>Profile</t>
  </si>
  <si>
    <t>—&gt;Profile Section Added in Backend.</t>
  </si>
  <si>
    <t>—&gt;Profile page created in frontend</t>
  </si>
  <si>
    <t>—&gt; styling of profile page with help of Hetal</t>
  </si>
  <si>
    <t>—&gt; User Updation Performed in profile page</t>
  </si>
  <si>
    <t>—&gt; Add profile photo and updation of the photo with styling</t>
  </si>
  <si>
    <t>—&gt; Helped Darshan in Conditions in flow of WO.</t>
  </si>
  <si>
    <t>—&gt; Logs table created with formatted dates according to mockups</t>
  </si>
  <si>
    <t>—&gt; Explored PDF Formats for download PDF options.</t>
  </si>
  <si>
    <t>—&gt;PDF created with HTML</t>
  </si>
  <si>
    <t>—&gt; Export Csv changes with all data in one click</t>
  </si>
  <si>
    <t>—&gt; reopen Flow Completed</t>
  </si>
  <si>
    <t>—&gt; Button Hover Filxed</t>
  </si>
  <si>
    <t>—&gt; Explored How to view csv on browser and got to some paid tools</t>
  </si>
  <si>
    <t>—&gt; Made a table of tags with the help of json to table package</t>
  </si>
  <si>
    <t>—&gt; added that component to the relevent button</t>
  </si>
  <si>
    <t>wo</t>
  </si>
  <si>
    <t>—&gt; User Log created frontend and Backend</t>
  </si>
  <si>
    <t>—&gt; Loader added to website</t>
  </si>
  <si>
    <t>—&gt; PDF download with preview functionallity.</t>
  </si>
  <si>
    <t>—&gt; Auth access for every API.</t>
  </si>
  <si>
    <t>—&gt;Styling of Table and other.</t>
  </si>
  <si>
    <t>WO, WR</t>
  </si>
  <si>
    <t>—&gt;Responsiveness of pages.</t>
  </si>
  <si>
    <t>—&gt;Icons added to every buttons</t>
  </si>
  <si>
    <t>—&gt; Doubts regarding M2 solved by JD and Romin.</t>
  </si>
  <si>
    <t>—&gt;Database design of module 2.</t>
  </si>
  <si>
    <t>—&gt;Created basic API for WR.</t>
  </si>
  <si>
    <t>WR</t>
  </si>
  <si>
    <t>—&gt; Form Creation with fieldset and legend but failed</t>
  </si>
  <si>
    <t>—&gt; added manual design of the form</t>
  </si>
  <si>
    <t>18-03-2024`</t>
  </si>
  <si>
    <t>—&gt; Redux Implemented for create WR</t>
  </si>
  <si>
    <t>—&gt; Schema changes according to form.</t>
  </si>
  <si>
    <t>—&gt;Conflict Resolve</t>
  </si>
  <si>
    <t>—&gt; form created and table created for the same</t>
  </si>
  <si>
    <t>—&gt;pdf tackled, get All WR API, seq counter Added</t>
  </si>
  <si>
    <t>—&gt;date format added</t>
  </si>
  <si>
    <t>—&gt;get wr by id action created</t>
  </si>
  <si>
    <t>—&gt;pending wr for all groups</t>
  </si>
  <si>
    <t>—&gt;</t>
  </si>
  <si>
    <t>flow completed in frontend and backend</t>
  </si>
  <si>
    <t>—&gt; Bugs fixes in Flow.</t>
  </si>
  <si>
    <t>—&gt;WR NO added</t>
  </si>
  <si>
    <t>scanning drawing table added</t>
  </si>
  <si>
    <t>—&gt;incharge history</t>
  </si>
  <si>
    <t>—&gt;For Office use only Implement</t>
  </si>
  <si>
    <t>—&gt; PDF created</t>
  </si>
  <si>
    <t>—&gt; Preview meet</t>
  </si>
  <si>
    <t>—&gt; Download PDF completed</t>
  </si>
  <si>
    <t>WR,PROJECT</t>
  </si>
  <si>
    <t>—&gt; pdf download complete</t>
  </si>
  <si>
    <t>—&gt; Schema of Project Module</t>
  </si>
  <si>
    <t>—&gt; Project Form structure created</t>
  </si>
  <si>
    <t>—&gt;Project Validations</t>
  </si>
  <si>
    <t>PROJECT</t>
  </si>
  <si>
    <t>—&gt;Project Table Added</t>
  </si>
  <si>
    <t>—&gt; Project view with redux</t>
  </si>
  <si>
    <t>—&gt;Form responsive</t>
  </si>
  <si>
    <t>—&gt;Project Id get APi</t>
  </si>
  <si>
    <t>—&gt; Project No Added</t>
  </si>
  <si>
    <t>Miscellaneous</t>
  </si>
  <si>
    <t>—&gt;wr form email type change, workshop form file uploaded on no after yes, array fields, underWork permit all fields</t>
  </si>
  <si>
    <t>—&gt;card color change</t>
  </si>
  <si>
    <t>—&gt;Sorting By _ID from Backend</t>
  </si>
  <si>
    <t>—&gt; File Path added for deployment</t>
  </si>
  <si>
    <t>—&gt; Deployed on AWS with EC2, S3</t>
  </si>
  <si>
    <t>—&gt;responsive pages underWork permit view and other changes</t>
  </si>
  <si>
    <t>—&gt;APi changes in wo by query</t>
  </si>
  <si>
    <t>—&gt;back arrow style fixed</t>
  </si>
  <si>
    <t>Frontend Development for Smart Building</t>
  </si>
  <si>
    <t>—&gt; Started research on the same topic</t>
  </si>
  <si>
    <t>—&gt; date and time with time stamps added</t>
  </si>
  <si>
    <t xml:space="preserve">—&gt; Deployment </t>
  </si>
  <si>
    <t>Annual meet</t>
  </si>
  <si>
    <t>early left</t>
  </si>
  <si>
    <t>Leave</t>
  </si>
  <si>
    <t>Dev</t>
  </si>
  <si>
    <t>Research</t>
  </si>
  <si>
    <t>Learning, documentation,and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</si>
</sst>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2" fillId="2" borderId="3" xfId="0" applyFont="1" applyFill="1" applyBorder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"/>
  <sheetViews>
    <sheetView zoomScale="70" zoomScaleNormal="70" workbookViewId="0">
      <selection activeCell="C21" sqref="C21"/>
    </sheetView>
  </sheetViews>
  <sheetFormatPr defaultColWidth="9.140625" defaultRowHeight="15"/>
  <cols>
    <col min="1" max="1" width="31.7109375" bestFit="1" customWidth="1"/>
    <col min="2" max="2" width="14.140625" bestFit="1" customWidth="1"/>
    <col min="3" max="3" width="22.140625" customWidth="1"/>
    <col min="4" max="4" width="22.7109375" bestFit="1" customWidth="1"/>
    <col min="5" max="5" width="6.28515625" bestFit="1" customWidth="1"/>
    <col min="6" max="6" width="12" bestFit="1" customWidth="1"/>
    <col min="7" max="7" width="6.85546875" customWidth="1"/>
    <col min="8" max="8" width="7" customWidth="1"/>
    <col min="10" max="10" width="10.85546875" customWidth="1"/>
    <col min="11" max="12" width="15.7109375" customWidth="1"/>
    <col min="13" max="13" width="28.85546875" customWidth="1"/>
    <col min="14" max="14" width="15.5703125" customWidth="1"/>
    <col min="15" max="16" width="11.5703125" customWidth="1"/>
    <col min="17" max="17" width="17.42578125" customWidth="1"/>
    <col min="19" max="19" width="12" bestFit="1" customWidth="1"/>
  </cols>
  <sheetData>
    <row r="1" spans="1:19" s="1" customFormat="1"/>
    <row r="14" spans="1:19">
      <c r="A14" s="12" t="s">
        <v>24</v>
      </c>
      <c r="B14" s="12" t="s">
        <v>25</v>
      </c>
      <c r="C14" s="12" t="s">
        <v>4</v>
      </c>
      <c r="D14" s="12"/>
      <c r="E14" s="12" t="s">
        <v>26</v>
      </c>
      <c r="F14" s="7" t="s">
        <v>27</v>
      </c>
      <c r="J14" s="13"/>
      <c r="K14" s="11"/>
      <c r="L14" s="11"/>
      <c r="M14" s="12"/>
      <c r="N14" s="12" t="s">
        <v>24</v>
      </c>
      <c r="O14" s="12" t="s">
        <v>25</v>
      </c>
      <c r="P14" s="12"/>
      <c r="Q14" s="12" t="s">
        <v>4</v>
      </c>
      <c r="R14" s="12" t="s">
        <v>26</v>
      </c>
      <c r="S14" s="7" t="s">
        <v>27</v>
      </c>
    </row>
    <row r="15" spans="1:19" ht="45">
      <c r="A15" s="12">
        <v>7</v>
      </c>
      <c r="B15" s="12">
        <v>2.5</v>
      </c>
      <c r="C15" s="12">
        <v>4</v>
      </c>
      <c r="D15" s="12"/>
      <c r="E15" s="12">
        <v>6</v>
      </c>
      <c r="F15" s="12">
        <v>3</v>
      </c>
      <c r="J15" s="13">
        <v>45327</v>
      </c>
      <c r="K15" s="11"/>
      <c r="L15" s="11"/>
      <c r="M15" s="12" t="s">
        <v>28</v>
      </c>
      <c r="O15">
        <v>2.5</v>
      </c>
    </row>
    <row r="16" spans="1:19" ht="45">
      <c r="A16" s="12">
        <v>4</v>
      </c>
      <c r="B16" s="12">
        <v>2</v>
      </c>
      <c r="C16" s="12">
        <v>2</v>
      </c>
      <c r="D16" s="12"/>
      <c r="E16" s="12">
        <v>4</v>
      </c>
      <c r="F16" s="12">
        <v>2</v>
      </c>
      <c r="J16" s="13">
        <v>45328</v>
      </c>
      <c r="K16" s="11"/>
      <c r="L16" s="11"/>
      <c r="M16" s="12" t="s">
        <v>29</v>
      </c>
      <c r="N16">
        <v>7</v>
      </c>
      <c r="O16">
        <v>2</v>
      </c>
    </row>
    <row r="17" spans="1:18" ht="30">
      <c r="A17">
        <v>4</v>
      </c>
      <c r="B17">
        <v>2</v>
      </c>
      <c r="C17">
        <v>2</v>
      </c>
      <c r="F17">
        <v>2</v>
      </c>
      <c r="J17" s="13">
        <v>45329</v>
      </c>
      <c r="K17" s="11"/>
      <c r="L17" s="11"/>
      <c r="M17" s="12" t="s">
        <v>30</v>
      </c>
      <c r="N17">
        <v>4</v>
      </c>
      <c r="Q17">
        <v>4</v>
      </c>
    </row>
    <row r="18" spans="1:18" ht="30">
      <c r="B18" s="12">
        <v>1</v>
      </c>
      <c r="C18" s="12">
        <v>4</v>
      </c>
      <c r="E18">
        <v>4</v>
      </c>
      <c r="F18">
        <v>1</v>
      </c>
      <c r="J18" s="13">
        <v>45330</v>
      </c>
      <c r="K18" s="11"/>
      <c r="L18" s="11"/>
      <c r="M18" s="12" t="s">
        <v>31</v>
      </c>
      <c r="N18" s="10"/>
      <c r="O18" s="10"/>
      <c r="P18" s="9"/>
      <c r="Q18" s="10">
        <v>2</v>
      </c>
      <c r="R18" s="10">
        <v>6</v>
      </c>
    </row>
    <row r="19" spans="1:18" ht="30">
      <c r="B19" s="12">
        <v>2</v>
      </c>
      <c r="C19" s="12">
        <v>4</v>
      </c>
      <c r="E19" s="12">
        <v>6</v>
      </c>
      <c r="J19" s="13"/>
      <c r="K19" s="11"/>
      <c r="L19" s="11"/>
      <c r="M19" s="12" t="s">
        <v>32</v>
      </c>
      <c r="N19" s="10"/>
      <c r="O19" s="10"/>
      <c r="P19" s="9"/>
      <c r="Q19" s="10"/>
      <c r="R19" s="10"/>
    </row>
    <row r="20" spans="1:18" ht="30">
      <c r="C20" s="12">
        <v>2</v>
      </c>
      <c r="E20" s="12">
        <v>5</v>
      </c>
      <c r="J20" s="13"/>
      <c r="K20" s="11"/>
      <c r="L20" s="11"/>
      <c r="M20" s="12" t="s">
        <v>33</v>
      </c>
      <c r="N20" s="10"/>
      <c r="O20" s="10"/>
      <c r="P20" s="9"/>
      <c r="Q20" s="10"/>
      <c r="R20" s="10"/>
    </row>
    <row r="21" spans="1:18" ht="30">
      <c r="B21" s="12">
        <v>1</v>
      </c>
      <c r="C21" s="12">
        <v>2</v>
      </c>
      <c r="E21" s="12">
        <v>4</v>
      </c>
      <c r="J21" s="13">
        <v>45331</v>
      </c>
      <c r="K21" s="11"/>
      <c r="L21" s="11"/>
      <c r="M21" s="12" t="s">
        <v>34</v>
      </c>
      <c r="Q21" s="10">
        <v>4</v>
      </c>
      <c r="R21" s="10">
        <v>4</v>
      </c>
    </row>
    <row r="22" spans="1:18">
      <c r="C22" s="12">
        <v>4</v>
      </c>
      <c r="E22" s="12">
        <v>6</v>
      </c>
      <c r="J22" s="13"/>
      <c r="K22" s="11"/>
      <c r="L22" s="11"/>
      <c r="M22" s="12" t="s">
        <v>35</v>
      </c>
      <c r="Q22" s="10"/>
      <c r="R22" s="10"/>
    </row>
    <row r="23" spans="1:18" ht="30">
      <c r="C23" s="12">
        <v>2</v>
      </c>
      <c r="E23" s="12">
        <v>8</v>
      </c>
      <c r="J23" s="13"/>
      <c r="K23" s="12"/>
      <c r="L23" s="12"/>
      <c r="M23" s="12" t="s">
        <v>36</v>
      </c>
      <c r="Q23" s="10"/>
      <c r="R23" s="10"/>
    </row>
    <row r="24" spans="1:18" ht="30">
      <c r="C24" s="12">
        <v>3</v>
      </c>
      <c r="E24" s="12">
        <v>3</v>
      </c>
      <c r="J24" s="13">
        <v>45334</v>
      </c>
      <c r="K24" s="12" t="s">
        <v>37</v>
      </c>
      <c r="L24" s="12"/>
      <c r="M24" s="12" t="s">
        <v>38</v>
      </c>
      <c r="Q24" s="10">
        <v>5</v>
      </c>
      <c r="R24" s="10">
        <v>3</v>
      </c>
    </row>
    <row r="25" spans="1:18" ht="30">
      <c r="C25" s="12">
        <v>3</v>
      </c>
      <c r="E25" s="12">
        <v>5</v>
      </c>
      <c r="J25" s="13"/>
      <c r="K25" s="12"/>
      <c r="L25" s="12"/>
      <c r="M25" s="12" t="s">
        <v>39</v>
      </c>
      <c r="Q25" s="10"/>
      <c r="R25" s="10"/>
    </row>
    <row r="26" spans="1:18" ht="30">
      <c r="C26" s="12">
        <v>1</v>
      </c>
      <c r="E26" s="12">
        <v>7</v>
      </c>
      <c r="J26" s="13">
        <v>45335</v>
      </c>
      <c r="K26" s="12" t="s">
        <v>37</v>
      </c>
      <c r="L26" s="12"/>
      <c r="M26" s="12" t="s">
        <v>40</v>
      </c>
      <c r="Q26" s="15">
        <v>6</v>
      </c>
      <c r="R26" s="15">
        <v>2</v>
      </c>
    </row>
    <row r="27" spans="1:18" ht="45">
      <c r="C27" s="12">
        <v>5</v>
      </c>
      <c r="E27" s="12">
        <v>3</v>
      </c>
      <c r="J27" s="13"/>
      <c r="K27" s="12"/>
      <c r="L27" s="12"/>
      <c r="M27" s="12" t="s">
        <v>41</v>
      </c>
      <c r="Q27" s="15"/>
      <c r="R27" s="15"/>
    </row>
    <row r="28" spans="1:18" ht="30">
      <c r="C28">
        <v>2</v>
      </c>
      <c r="E28" s="12">
        <v>2</v>
      </c>
      <c r="J28" s="13"/>
      <c r="K28" s="12"/>
      <c r="L28" s="12"/>
      <c r="M28" s="12" t="s">
        <v>42</v>
      </c>
      <c r="Q28" s="15"/>
      <c r="R28" s="15"/>
    </row>
    <row r="29" spans="1:18" ht="45">
      <c r="C29" s="12">
        <v>4</v>
      </c>
      <c r="E29" s="12">
        <v>5</v>
      </c>
      <c r="J29" s="13">
        <v>45336</v>
      </c>
      <c r="K29" s="12" t="s">
        <v>37</v>
      </c>
      <c r="L29" s="12"/>
      <c r="M29" s="12" t="s">
        <v>43</v>
      </c>
      <c r="Q29" s="15">
        <v>2</v>
      </c>
      <c r="R29" s="15">
        <v>6</v>
      </c>
    </row>
    <row r="30" spans="1:18" ht="30">
      <c r="C30" s="12">
        <v>1</v>
      </c>
      <c r="E30" s="12">
        <v>6</v>
      </c>
      <c r="J30" s="13"/>
      <c r="K30" s="12"/>
      <c r="L30" s="12"/>
      <c r="M30" s="12" t="s">
        <v>44</v>
      </c>
      <c r="Q30" s="15"/>
      <c r="R30" s="15"/>
    </row>
    <row r="31" spans="1:18" ht="30">
      <c r="C31" s="12">
        <v>3</v>
      </c>
      <c r="E31" s="12">
        <v>6</v>
      </c>
      <c r="J31" s="13"/>
      <c r="K31" s="12"/>
      <c r="L31" s="12"/>
      <c r="M31" s="12" t="s">
        <v>45</v>
      </c>
      <c r="Q31" s="15"/>
      <c r="R31" s="15"/>
    </row>
    <row r="32" spans="1:18" ht="45">
      <c r="C32" s="12">
        <v>2</v>
      </c>
      <c r="E32" s="12">
        <v>5</v>
      </c>
      <c r="J32" s="13">
        <v>45337</v>
      </c>
      <c r="K32" s="12" t="s">
        <v>37</v>
      </c>
      <c r="L32" s="12"/>
      <c r="M32" s="12" t="s">
        <v>46</v>
      </c>
      <c r="Q32" s="15">
        <v>3</v>
      </c>
      <c r="R32" s="15">
        <v>5</v>
      </c>
    </row>
    <row r="33" spans="3:19" ht="30">
      <c r="C33" s="12">
        <v>2</v>
      </c>
      <c r="E33" s="12">
        <v>4</v>
      </c>
      <c r="J33" s="13"/>
      <c r="K33" s="12"/>
      <c r="L33" s="12"/>
      <c r="M33" s="12" t="s">
        <v>47</v>
      </c>
      <c r="Q33" s="15"/>
      <c r="R33" s="15"/>
    </row>
    <row r="34" spans="3:19" ht="45">
      <c r="C34" s="12">
        <v>3</v>
      </c>
      <c r="E34" s="12">
        <v>6</v>
      </c>
      <c r="J34" s="13"/>
      <c r="K34" s="12"/>
      <c r="L34" s="12"/>
      <c r="M34" s="12" t="s">
        <v>48</v>
      </c>
      <c r="Q34" s="15"/>
      <c r="R34" s="15"/>
    </row>
    <row r="35" spans="3:19" ht="30">
      <c r="C35" s="12">
        <v>4</v>
      </c>
      <c r="E35" s="12">
        <v>4</v>
      </c>
      <c r="J35" s="13">
        <v>45338</v>
      </c>
      <c r="K35" s="12" t="s">
        <v>37</v>
      </c>
      <c r="L35" s="12"/>
      <c r="M35" s="12" t="s">
        <v>49</v>
      </c>
      <c r="Q35" s="16">
        <v>2</v>
      </c>
      <c r="R35" s="16">
        <v>6</v>
      </c>
    </row>
    <row r="36" spans="3:19" ht="30">
      <c r="C36" s="12">
        <v>2</v>
      </c>
      <c r="E36" s="12">
        <v>5</v>
      </c>
      <c r="J36" s="13"/>
      <c r="K36" s="12"/>
      <c r="L36" s="12"/>
      <c r="M36" s="12" t="s">
        <v>50</v>
      </c>
      <c r="Q36" s="16"/>
      <c r="R36" s="16"/>
    </row>
    <row r="37" spans="3:19" ht="45">
      <c r="C37" s="12">
        <v>3</v>
      </c>
      <c r="E37" s="12">
        <v>5</v>
      </c>
      <c r="J37" s="13"/>
      <c r="K37" s="12"/>
      <c r="L37" s="12"/>
      <c r="M37" s="12" t="s">
        <v>51</v>
      </c>
      <c r="Q37" s="16"/>
      <c r="R37" s="16"/>
    </row>
    <row r="38" spans="3:19" ht="45">
      <c r="C38" s="12">
        <v>2</v>
      </c>
      <c r="E38" s="12">
        <v>3</v>
      </c>
      <c r="J38" s="13">
        <v>45341</v>
      </c>
      <c r="K38" s="12" t="s">
        <v>37</v>
      </c>
      <c r="L38" s="12"/>
      <c r="M38" s="12" t="s">
        <v>52</v>
      </c>
      <c r="Q38" s="15">
        <v>1</v>
      </c>
      <c r="R38" s="15">
        <v>7</v>
      </c>
    </row>
    <row r="39" spans="3:19" ht="30">
      <c r="C39" s="12">
        <v>4</v>
      </c>
      <c r="E39" s="12">
        <v>5</v>
      </c>
      <c r="J39" s="13"/>
      <c r="K39" s="12"/>
      <c r="L39" s="12"/>
      <c r="M39" s="12" t="s">
        <v>53</v>
      </c>
      <c r="Q39" s="15"/>
      <c r="R39" s="15"/>
    </row>
    <row r="40" spans="3:19">
      <c r="C40" s="12">
        <v>3</v>
      </c>
      <c r="E40" s="12">
        <v>8</v>
      </c>
      <c r="J40" s="13">
        <v>45342</v>
      </c>
      <c r="K40" s="12" t="s">
        <v>54</v>
      </c>
      <c r="L40" s="12"/>
      <c r="M40" s="12" t="s">
        <v>55</v>
      </c>
    </row>
    <row r="41" spans="3:19">
      <c r="C41" s="12">
        <v>2</v>
      </c>
      <c r="E41" s="12">
        <v>7</v>
      </c>
      <c r="J41" s="13">
        <v>45343</v>
      </c>
      <c r="K41" s="12" t="s">
        <v>37</v>
      </c>
      <c r="L41" s="12"/>
      <c r="M41" s="12" t="s">
        <v>56</v>
      </c>
      <c r="Q41" s="15">
        <v>2</v>
      </c>
      <c r="R41" s="15">
        <v>6</v>
      </c>
    </row>
    <row r="42" spans="3:19" ht="30">
      <c r="C42" s="12">
        <v>1</v>
      </c>
      <c r="E42" s="12">
        <v>7</v>
      </c>
      <c r="J42" s="13"/>
      <c r="K42" s="12"/>
      <c r="L42" s="12"/>
      <c r="M42" s="12" t="s">
        <v>57</v>
      </c>
      <c r="Q42" s="15"/>
      <c r="R42" s="15"/>
    </row>
    <row r="43" spans="3:19">
      <c r="C43" s="12">
        <v>1</v>
      </c>
      <c r="E43" s="12">
        <v>4</v>
      </c>
      <c r="J43" s="13">
        <v>45344</v>
      </c>
      <c r="K43" s="12" t="s">
        <v>37</v>
      </c>
      <c r="L43" s="12"/>
      <c r="M43" s="12" t="s">
        <v>58</v>
      </c>
      <c r="Q43" s="15">
        <v>2</v>
      </c>
      <c r="R43" s="15">
        <v>4</v>
      </c>
      <c r="S43" s="15">
        <v>2</v>
      </c>
    </row>
    <row r="44" spans="3:19" ht="30">
      <c r="C44" s="12">
        <v>2</v>
      </c>
      <c r="E44" s="12">
        <v>6</v>
      </c>
      <c r="J44" s="13"/>
      <c r="K44" s="12"/>
      <c r="L44" s="12"/>
      <c r="M44" s="12" t="s">
        <v>59</v>
      </c>
      <c r="Q44" s="15"/>
      <c r="R44" s="15"/>
      <c r="S44" s="15"/>
    </row>
    <row r="45" spans="3:19" ht="30">
      <c r="C45" s="12">
        <v>1</v>
      </c>
      <c r="E45" s="12">
        <v>7</v>
      </c>
      <c r="J45" s="13"/>
      <c r="K45" s="12"/>
      <c r="L45" s="12"/>
      <c r="M45" s="12" t="s">
        <v>60</v>
      </c>
      <c r="Q45" s="15"/>
      <c r="R45" s="15"/>
      <c r="S45" s="15"/>
    </row>
    <row r="46" spans="3:19" ht="30">
      <c r="C46" s="12">
        <v>2</v>
      </c>
      <c r="E46" s="12">
        <v>5</v>
      </c>
      <c r="J46" s="13"/>
      <c r="K46" s="12"/>
      <c r="L46" s="12"/>
      <c r="M46" s="12" t="s">
        <v>61</v>
      </c>
      <c r="Q46" s="15"/>
      <c r="R46" s="15"/>
      <c r="S46" s="15"/>
    </row>
    <row r="47" spans="3:19" ht="45">
      <c r="E47" s="12">
        <v>5</v>
      </c>
      <c r="J47" s="13">
        <v>45345</v>
      </c>
      <c r="K47" s="12" t="s">
        <v>37</v>
      </c>
      <c r="L47" s="12"/>
      <c r="M47" s="12" t="s">
        <v>62</v>
      </c>
      <c r="Q47" s="15">
        <v>5</v>
      </c>
      <c r="R47" s="15">
        <v>2</v>
      </c>
      <c r="S47" s="15">
        <v>1</v>
      </c>
    </row>
    <row r="48" spans="3:19" ht="45">
      <c r="C48" s="12">
        <v>4</v>
      </c>
      <c r="J48" s="13"/>
      <c r="K48" s="12"/>
      <c r="L48" s="12"/>
      <c r="M48" s="12" t="s">
        <v>63</v>
      </c>
      <c r="Q48" s="15"/>
      <c r="R48" s="15"/>
      <c r="S48" s="15"/>
    </row>
    <row r="49" spans="1:19" ht="30">
      <c r="C49" s="12">
        <v>2</v>
      </c>
      <c r="E49" s="12">
        <v>6</v>
      </c>
      <c r="J49" s="13"/>
      <c r="K49" s="12"/>
      <c r="L49" s="12"/>
      <c r="M49" s="12" t="s">
        <v>64</v>
      </c>
      <c r="Q49" s="15"/>
      <c r="R49" s="15"/>
      <c r="S49" s="15"/>
    </row>
    <row r="50" spans="1:19" ht="30">
      <c r="C50" s="12">
        <v>5</v>
      </c>
      <c r="E50" s="12">
        <v>2</v>
      </c>
      <c r="J50" s="13">
        <v>45348</v>
      </c>
      <c r="K50" s="12" t="s">
        <v>65</v>
      </c>
      <c r="L50" s="12"/>
      <c r="M50" s="12" t="s">
        <v>66</v>
      </c>
      <c r="Q50" s="15">
        <v>2</v>
      </c>
      <c r="R50" s="15">
        <v>6</v>
      </c>
      <c r="S50" s="15"/>
    </row>
    <row r="51" spans="1:19">
      <c r="C51" s="12">
        <v>5</v>
      </c>
      <c r="E51" s="12">
        <v>3</v>
      </c>
      <c r="J51" s="13"/>
      <c r="K51" s="12"/>
      <c r="L51" s="12"/>
      <c r="M51" s="12" t="s">
        <v>67</v>
      </c>
      <c r="Q51" s="15"/>
      <c r="R51" s="15"/>
      <c r="S51" s="15"/>
    </row>
    <row r="52" spans="1:19" ht="30">
      <c r="J52" s="13">
        <v>45349</v>
      </c>
      <c r="K52" s="12" t="s">
        <v>68</v>
      </c>
      <c r="L52" s="12"/>
      <c r="M52" s="12" t="s">
        <v>69</v>
      </c>
      <c r="Q52" s="15">
        <v>1</v>
      </c>
      <c r="R52" s="15">
        <v>7</v>
      </c>
    </row>
    <row r="53" spans="1:19" ht="30">
      <c r="J53" s="13"/>
      <c r="K53" s="12"/>
      <c r="L53" s="12"/>
      <c r="M53" s="12" t="s">
        <v>70</v>
      </c>
      <c r="Q53" s="15"/>
      <c r="R53" s="15"/>
    </row>
    <row r="54" spans="1:19" ht="30">
      <c r="A54">
        <f>SUM(A15:A17)</f>
        <v>15</v>
      </c>
      <c r="B54">
        <f>SUM(B15:B21)</f>
        <v>10.5</v>
      </c>
      <c r="C54">
        <f>SUM(C15:C51)</f>
        <v>98</v>
      </c>
      <c r="E54">
        <f>SUM(E15:E51)</f>
        <v>177</v>
      </c>
      <c r="J54" s="13">
        <v>45350</v>
      </c>
      <c r="K54" s="12" t="s">
        <v>71</v>
      </c>
      <c r="L54" s="12"/>
      <c r="M54" s="12" t="s">
        <v>72</v>
      </c>
      <c r="O54" s="15">
        <v>2</v>
      </c>
      <c r="Q54" s="15">
        <v>1</v>
      </c>
      <c r="R54" s="15">
        <v>5</v>
      </c>
    </row>
    <row r="55" spans="1:19">
      <c r="J55" s="13"/>
      <c r="K55" s="12"/>
      <c r="L55" s="12"/>
      <c r="M55" s="12" t="s">
        <v>73</v>
      </c>
      <c r="O55" s="15"/>
      <c r="Q55" s="15"/>
      <c r="R55" s="15"/>
    </row>
    <row r="56" spans="1:19" ht="30">
      <c r="J56" s="13">
        <v>45351</v>
      </c>
      <c r="K56" s="12" t="s">
        <v>65</v>
      </c>
      <c r="L56" s="12"/>
      <c r="M56" s="12" t="s">
        <v>74</v>
      </c>
      <c r="Q56">
        <v>2</v>
      </c>
      <c r="R56">
        <v>6</v>
      </c>
    </row>
    <row r="57" spans="1:19" ht="30">
      <c r="J57" s="13">
        <v>45352</v>
      </c>
      <c r="K57" s="12" t="s">
        <v>65</v>
      </c>
      <c r="L57" s="12"/>
      <c r="M57" s="12" t="s">
        <v>75</v>
      </c>
      <c r="Q57" s="15">
        <v>3</v>
      </c>
      <c r="R57" s="15">
        <v>5</v>
      </c>
    </row>
    <row r="58" spans="1:19">
      <c r="J58" s="13"/>
      <c r="K58" s="12"/>
      <c r="L58" s="12"/>
      <c r="M58" s="12" t="s">
        <v>76</v>
      </c>
      <c r="Q58" s="15"/>
      <c r="R58" s="15"/>
    </row>
    <row r="59" spans="1:19" ht="30">
      <c r="J59" s="13"/>
      <c r="K59" s="12"/>
      <c r="L59" s="12"/>
      <c r="M59" s="14" t="s">
        <v>77</v>
      </c>
      <c r="Q59" s="15"/>
      <c r="R59" s="15"/>
    </row>
    <row r="60" spans="1:19" ht="30">
      <c r="J60" s="13">
        <v>45355</v>
      </c>
      <c r="K60" s="12" t="s">
        <v>68</v>
      </c>
      <c r="L60" s="12"/>
      <c r="M60" s="12" t="s">
        <v>152</v>
      </c>
      <c r="Q60" s="15">
        <v>1</v>
      </c>
      <c r="R60" s="15">
        <v>7</v>
      </c>
    </row>
    <row r="61" spans="1:19" ht="30">
      <c r="J61" s="13"/>
      <c r="K61" s="12"/>
      <c r="L61" s="12"/>
      <c r="M61" s="12" t="s">
        <v>78</v>
      </c>
      <c r="Q61" s="15"/>
      <c r="R61" s="15"/>
    </row>
    <row r="62" spans="1:19" ht="30">
      <c r="J62" s="13"/>
      <c r="K62" s="12"/>
      <c r="L62" s="12"/>
      <c r="M62" s="12" t="s">
        <v>79</v>
      </c>
      <c r="Q62" s="15"/>
      <c r="R62" s="15"/>
    </row>
    <row r="63" spans="1:19" ht="30">
      <c r="J63" s="13">
        <v>45356</v>
      </c>
      <c r="K63" s="12" t="s">
        <v>80</v>
      </c>
      <c r="L63" s="12"/>
      <c r="M63" s="12" t="s">
        <v>81</v>
      </c>
      <c r="Q63" s="15">
        <v>1</v>
      </c>
      <c r="R63" s="15">
        <v>7</v>
      </c>
    </row>
    <row r="64" spans="1:19" ht="30">
      <c r="J64" s="13"/>
      <c r="K64" s="12"/>
      <c r="L64" s="12"/>
      <c r="M64" s="12" t="s">
        <v>82</v>
      </c>
      <c r="Q64" s="15"/>
      <c r="R64" s="15"/>
    </row>
    <row r="65" spans="10:18" ht="30">
      <c r="J65" s="13"/>
      <c r="K65" s="12"/>
      <c r="L65" s="12"/>
      <c r="M65" s="12" t="s">
        <v>83</v>
      </c>
      <c r="Q65" s="15"/>
      <c r="R65" s="15"/>
    </row>
    <row r="66" spans="10:18" ht="30">
      <c r="J66" s="13">
        <v>45357</v>
      </c>
      <c r="K66" s="12" t="s">
        <v>80</v>
      </c>
      <c r="L66" s="12"/>
      <c r="M66" s="12" t="s">
        <v>84</v>
      </c>
      <c r="Q66" s="16">
        <v>1</v>
      </c>
      <c r="R66" s="16">
        <v>7</v>
      </c>
    </row>
    <row r="67" spans="10:18" ht="45">
      <c r="J67" s="13"/>
      <c r="K67" s="12"/>
      <c r="L67" s="12"/>
      <c r="M67" s="12" t="s">
        <v>85</v>
      </c>
      <c r="Q67" s="16"/>
      <c r="R67" s="16"/>
    </row>
    <row r="68" spans="10:18" ht="30">
      <c r="J68" s="13"/>
      <c r="K68" s="12"/>
      <c r="L68" s="12"/>
      <c r="M68" s="12" t="s">
        <v>86</v>
      </c>
      <c r="Q68" s="16"/>
      <c r="R68" s="16"/>
    </row>
    <row r="69" spans="10:18" ht="45">
      <c r="J69" s="13">
        <v>45358</v>
      </c>
      <c r="K69" s="12" t="s">
        <v>65</v>
      </c>
      <c r="L69" s="12"/>
      <c r="M69" s="12" t="s">
        <v>87</v>
      </c>
      <c r="Q69" s="16">
        <v>1</v>
      </c>
      <c r="R69" s="16">
        <v>7</v>
      </c>
    </row>
    <row r="70" spans="10:18" ht="30">
      <c r="J70" s="13"/>
      <c r="K70" s="12"/>
      <c r="L70" s="12"/>
      <c r="M70" s="12" t="s">
        <v>88</v>
      </c>
      <c r="Q70" s="16"/>
      <c r="R70" s="16"/>
    </row>
    <row r="71" spans="10:18">
      <c r="J71" s="13"/>
      <c r="K71" s="12"/>
      <c r="L71" s="12"/>
      <c r="M71" s="12" t="s">
        <v>89</v>
      </c>
      <c r="Q71" s="16"/>
      <c r="R71" s="16"/>
    </row>
    <row r="72" spans="10:18" ht="30">
      <c r="J72" s="13">
        <v>45359</v>
      </c>
      <c r="K72" s="12" t="s">
        <v>68</v>
      </c>
      <c r="L72" s="12"/>
      <c r="M72" s="12" t="s">
        <v>90</v>
      </c>
      <c r="O72" s="15">
        <v>2</v>
      </c>
      <c r="Q72" s="15">
        <v>1</v>
      </c>
      <c r="R72" s="15">
        <v>5</v>
      </c>
    </row>
    <row r="73" spans="10:18">
      <c r="J73" s="13"/>
      <c r="K73" s="12"/>
      <c r="L73" s="12"/>
      <c r="M73" s="12" t="s">
        <v>91</v>
      </c>
      <c r="O73" s="15"/>
      <c r="Q73" s="15"/>
      <c r="R73" s="15"/>
    </row>
    <row r="74" spans="10:18">
      <c r="J74" s="13"/>
      <c r="K74" s="12"/>
      <c r="L74" s="12"/>
      <c r="M74" s="12" t="s">
        <v>92</v>
      </c>
      <c r="O74" s="15"/>
      <c r="Q74" s="15"/>
      <c r="R74" s="15"/>
    </row>
    <row r="75" spans="10:18" ht="45">
      <c r="J75" s="13">
        <v>45362</v>
      </c>
      <c r="K75" s="12" t="s">
        <v>68</v>
      </c>
      <c r="L75" s="12"/>
      <c r="M75" s="12" t="s">
        <v>93</v>
      </c>
      <c r="Q75" s="15">
        <v>3</v>
      </c>
      <c r="R75" s="15">
        <v>5</v>
      </c>
    </row>
    <row r="76" spans="10:18" ht="45">
      <c r="J76" s="13"/>
      <c r="K76" s="12"/>
      <c r="L76" s="12"/>
      <c r="M76" s="12" t="s">
        <v>94</v>
      </c>
      <c r="Q76" s="15"/>
      <c r="R76" s="15"/>
    </row>
    <row r="77" spans="10:18" ht="30">
      <c r="J77" s="13"/>
      <c r="K77" s="12"/>
      <c r="L77" s="12"/>
      <c r="M77" s="12" t="s">
        <v>95</v>
      </c>
      <c r="Q77" s="15"/>
      <c r="R77" s="15"/>
    </row>
    <row r="78" spans="10:18" ht="30">
      <c r="J78" s="13">
        <v>45363</v>
      </c>
      <c r="K78" s="12" t="s">
        <v>96</v>
      </c>
      <c r="L78" s="12"/>
      <c r="M78" s="12" t="s">
        <v>97</v>
      </c>
      <c r="Q78" s="15">
        <v>1</v>
      </c>
      <c r="R78" s="15">
        <v>7</v>
      </c>
    </row>
    <row r="79" spans="10:18">
      <c r="J79" s="13"/>
      <c r="K79" s="12"/>
      <c r="L79" s="12"/>
      <c r="M79" s="12" t="s">
        <v>98</v>
      </c>
      <c r="Q79" s="15"/>
      <c r="R79" s="15"/>
    </row>
    <row r="80" spans="10:18" ht="30">
      <c r="J80" s="13">
        <v>45364</v>
      </c>
      <c r="K80" s="12" t="s">
        <v>68</v>
      </c>
      <c r="L80" s="12"/>
      <c r="M80" s="12" t="s">
        <v>99</v>
      </c>
      <c r="Q80" s="16">
        <v>4</v>
      </c>
      <c r="R80" s="16">
        <v>4</v>
      </c>
    </row>
    <row r="81" spans="10:18">
      <c r="J81" s="13"/>
      <c r="K81" s="12"/>
      <c r="L81" s="12"/>
      <c r="M81" s="12" t="s">
        <v>100</v>
      </c>
      <c r="Q81" s="16"/>
      <c r="R81" s="16"/>
    </row>
    <row r="82" spans="10:18">
      <c r="J82" s="13"/>
      <c r="K82" s="12"/>
      <c r="L82" s="12"/>
      <c r="M82" s="12" t="s">
        <v>101</v>
      </c>
      <c r="Q82" s="16"/>
      <c r="R82" s="16"/>
    </row>
    <row r="83" spans="10:18">
      <c r="J83" s="13">
        <v>45365</v>
      </c>
      <c r="K83" s="12" t="s">
        <v>102</v>
      </c>
      <c r="L83" s="12"/>
      <c r="M83" s="12" t="s">
        <v>103</v>
      </c>
      <c r="O83" s="15">
        <v>1</v>
      </c>
      <c r="Q83" s="15">
        <v>1</v>
      </c>
      <c r="R83" s="15">
        <v>6</v>
      </c>
    </row>
    <row r="84" spans="10:18" ht="30" customHeight="1">
      <c r="J84" s="13"/>
      <c r="K84" s="12"/>
      <c r="L84" s="12"/>
      <c r="M84" s="12" t="s">
        <v>104</v>
      </c>
      <c r="O84" s="15"/>
      <c r="Q84" s="15"/>
      <c r="R84" s="15"/>
    </row>
    <row r="85" spans="10:18" ht="30" customHeight="1">
      <c r="J85" s="13"/>
      <c r="K85" s="12"/>
      <c r="L85" s="12"/>
      <c r="M85" s="12" t="s">
        <v>105</v>
      </c>
      <c r="O85" s="15"/>
      <c r="Q85" s="15"/>
      <c r="R85" s="15"/>
    </row>
    <row r="86" spans="10:18" ht="30" customHeight="1">
      <c r="J86" s="13"/>
      <c r="K86" s="12"/>
      <c r="L86" s="12"/>
      <c r="M86" s="12" t="s">
        <v>106</v>
      </c>
      <c r="O86" s="15"/>
      <c r="Q86" s="15"/>
      <c r="R86" s="15"/>
    </row>
    <row r="87" spans="10:18">
      <c r="J87" s="13"/>
      <c r="K87" s="12"/>
      <c r="L87" s="12"/>
      <c r="M87" s="12" t="s">
        <v>107</v>
      </c>
      <c r="O87" s="15"/>
      <c r="Q87" s="15"/>
      <c r="R87" s="15"/>
    </row>
    <row r="88" spans="10:18" ht="30">
      <c r="J88" s="13">
        <v>45366</v>
      </c>
      <c r="K88" s="12" t="s">
        <v>108</v>
      </c>
      <c r="L88" s="12"/>
      <c r="M88" s="12" t="s">
        <v>109</v>
      </c>
      <c r="Q88" s="15">
        <v>4</v>
      </c>
      <c r="R88" s="15">
        <v>4</v>
      </c>
    </row>
    <row r="89" spans="10:18" ht="30">
      <c r="J89" s="12"/>
      <c r="K89" s="12"/>
      <c r="L89" s="12"/>
      <c r="M89" s="12" t="s">
        <v>110</v>
      </c>
      <c r="Q89" s="15"/>
      <c r="R89" s="15"/>
    </row>
    <row r="90" spans="10:18" ht="30">
      <c r="J90" s="12" t="s">
        <v>111</v>
      </c>
      <c r="K90" s="12" t="s">
        <v>108</v>
      </c>
      <c r="L90" s="12"/>
      <c r="M90" s="12" t="s">
        <v>112</v>
      </c>
      <c r="Q90" s="15">
        <v>1</v>
      </c>
      <c r="R90" s="15">
        <v>7</v>
      </c>
    </row>
    <row r="91" spans="10:18" ht="30">
      <c r="J91" s="12"/>
      <c r="K91" s="12"/>
      <c r="L91" s="12"/>
      <c r="M91" s="12" t="s">
        <v>113</v>
      </c>
      <c r="Q91" s="15"/>
      <c r="R91" s="15"/>
    </row>
    <row r="92" spans="10:18">
      <c r="J92" s="13"/>
      <c r="K92" s="12"/>
      <c r="L92" s="12"/>
      <c r="M92" s="12" t="s">
        <v>114</v>
      </c>
      <c r="Q92" s="15"/>
      <c r="R92" s="15"/>
    </row>
    <row r="93" spans="10:18" ht="30">
      <c r="J93" s="13">
        <v>45370</v>
      </c>
      <c r="K93" s="12" t="s">
        <v>108</v>
      </c>
      <c r="L93" s="12"/>
      <c r="M93" s="12" t="s">
        <v>115</v>
      </c>
      <c r="Q93" s="15">
        <v>2</v>
      </c>
      <c r="R93" s="15">
        <v>6</v>
      </c>
    </row>
    <row r="94" spans="10:18" ht="30">
      <c r="J94" s="13"/>
      <c r="K94" s="12"/>
      <c r="L94" s="12"/>
      <c r="M94" s="12" t="s">
        <v>116</v>
      </c>
      <c r="Q94" s="15"/>
      <c r="R94" s="15"/>
    </row>
    <row r="95" spans="10:18">
      <c r="J95" s="13"/>
      <c r="K95" s="12"/>
      <c r="L95" s="12"/>
      <c r="M95" s="12" t="s">
        <v>117</v>
      </c>
      <c r="Q95" s="15"/>
      <c r="R95" s="15"/>
    </row>
    <row r="96" spans="10:18">
      <c r="J96" s="13"/>
      <c r="K96" s="12"/>
      <c r="L96" s="12"/>
      <c r="M96" s="12" t="s">
        <v>118</v>
      </c>
      <c r="Q96" s="15"/>
      <c r="R96" s="15"/>
    </row>
    <row r="97" spans="10:18">
      <c r="J97" s="13">
        <v>45371</v>
      </c>
      <c r="K97" s="12" t="s">
        <v>108</v>
      </c>
      <c r="L97" s="12"/>
      <c r="M97" s="12" t="s">
        <v>119</v>
      </c>
      <c r="Q97" s="15">
        <v>1</v>
      </c>
      <c r="R97" s="15">
        <v>7</v>
      </c>
    </row>
    <row r="98" spans="10:18">
      <c r="J98" s="13"/>
      <c r="K98" s="12"/>
      <c r="L98" s="12"/>
      <c r="M98" s="14" t="s">
        <v>120</v>
      </c>
      <c r="Q98" s="15"/>
      <c r="R98" s="15"/>
    </row>
    <row r="99" spans="10:18" ht="30">
      <c r="J99" s="13"/>
      <c r="K99" s="12"/>
      <c r="L99" s="12"/>
      <c r="M99" s="12" t="s">
        <v>121</v>
      </c>
      <c r="Q99" s="15"/>
      <c r="R99" s="15"/>
    </row>
    <row r="100" spans="10:18">
      <c r="J100" s="13">
        <v>45372</v>
      </c>
      <c r="K100" s="12" t="s">
        <v>108</v>
      </c>
      <c r="L100" s="12"/>
      <c r="M100" s="12" t="s">
        <v>122</v>
      </c>
      <c r="Q100" s="15">
        <v>2</v>
      </c>
      <c r="R100" s="15">
        <v>6</v>
      </c>
    </row>
    <row r="101" spans="10:18">
      <c r="J101" s="13"/>
      <c r="K101" s="12"/>
      <c r="L101" s="12"/>
      <c r="M101" s="11" t="s">
        <v>123</v>
      </c>
      <c r="Q101" s="15"/>
      <c r="R101" s="15"/>
    </row>
    <row r="102" spans="10:18">
      <c r="J102" s="13"/>
      <c r="K102" s="12"/>
      <c r="L102" s="12"/>
      <c r="M102" s="14"/>
      <c r="Q102" s="15"/>
      <c r="R102" s="15"/>
    </row>
    <row r="103" spans="10:18">
      <c r="J103" s="13"/>
      <c r="K103" s="12"/>
      <c r="L103" s="12"/>
      <c r="M103" s="12" t="s">
        <v>120</v>
      </c>
      <c r="Q103" s="15"/>
      <c r="R103" s="15"/>
    </row>
    <row r="104" spans="10:18">
      <c r="J104" s="13"/>
      <c r="K104" s="12"/>
      <c r="L104" s="12"/>
      <c r="M104" s="12" t="s">
        <v>124</v>
      </c>
      <c r="Q104" s="15"/>
      <c r="R104" s="15"/>
    </row>
    <row r="105" spans="10:18">
      <c r="J105" s="13"/>
      <c r="K105" s="12"/>
      <c r="L105" s="12"/>
      <c r="M105" s="12" t="s">
        <v>125</v>
      </c>
      <c r="Q105" s="15"/>
      <c r="R105" s="15"/>
    </row>
    <row r="106" spans="10:18" ht="30">
      <c r="J106" s="13">
        <v>45373</v>
      </c>
      <c r="K106" s="12" t="s">
        <v>108</v>
      </c>
      <c r="L106" s="12"/>
      <c r="M106" s="12" t="s">
        <v>126</v>
      </c>
      <c r="O106">
        <v>1.5</v>
      </c>
      <c r="Q106" s="15">
        <v>2</v>
      </c>
      <c r="R106" s="15">
        <v>2</v>
      </c>
    </row>
    <row r="107" spans="10:18">
      <c r="J107" s="13"/>
      <c r="K107" s="12"/>
      <c r="L107" s="12"/>
      <c r="M107" s="12" t="s">
        <v>127</v>
      </c>
      <c r="Q107" s="15"/>
      <c r="R107" s="15"/>
    </row>
    <row r="108" spans="10:18">
      <c r="J108" s="13"/>
      <c r="K108" s="12"/>
      <c r="L108" s="12"/>
      <c r="M108" s="12" t="s">
        <v>128</v>
      </c>
      <c r="Q108" s="15"/>
      <c r="R108" s="15"/>
    </row>
    <row r="109" spans="10:18">
      <c r="J109" s="13"/>
      <c r="K109" s="12"/>
      <c r="L109" s="12"/>
      <c r="M109" s="12" t="s">
        <v>129</v>
      </c>
      <c r="Q109" s="15"/>
      <c r="R109" s="15"/>
    </row>
    <row r="110" spans="10:18">
      <c r="J110" s="13">
        <v>45378</v>
      </c>
      <c r="K110" s="12" t="s">
        <v>130</v>
      </c>
      <c r="L110" s="12"/>
      <c r="M110" s="12" t="s">
        <v>131</v>
      </c>
      <c r="Q110" s="15">
        <v>1</v>
      </c>
      <c r="R110" s="15">
        <v>7</v>
      </c>
    </row>
    <row r="111" spans="10:18">
      <c r="J111" s="13"/>
      <c r="K111" s="12"/>
      <c r="L111" s="12"/>
      <c r="M111" s="12" t="s">
        <v>132</v>
      </c>
      <c r="Q111" s="15"/>
      <c r="R111" s="15"/>
    </row>
    <row r="112" spans="10:18" ht="30">
      <c r="J112" s="13"/>
      <c r="K112" s="12"/>
      <c r="L112" s="12"/>
      <c r="M112" s="12" t="s">
        <v>133</v>
      </c>
      <c r="Q112" s="15"/>
      <c r="R112" s="15"/>
    </row>
    <row r="113" spans="10:19">
      <c r="J113" s="13"/>
      <c r="K113" s="12"/>
      <c r="L113" s="12"/>
      <c r="M113" s="12" t="s">
        <v>134</v>
      </c>
      <c r="Q113" s="15"/>
      <c r="R113" s="15"/>
    </row>
    <row r="114" spans="10:19">
      <c r="J114" s="13">
        <v>45379</v>
      </c>
      <c r="K114" s="12" t="s">
        <v>135</v>
      </c>
      <c r="L114" s="12"/>
      <c r="M114" s="12" t="s">
        <v>136</v>
      </c>
      <c r="O114" s="15">
        <v>2</v>
      </c>
      <c r="Q114" s="15">
        <v>1</v>
      </c>
      <c r="R114" s="15">
        <v>5</v>
      </c>
    </row>
    <row r="115" spans="10:19">
      <c r="J115" s="13"/>
      <c r="K115" s="12"/>
      <c r="L115" s="12"/>
      <c r="M115" s="12" t="s">
        <v>137</v>
      </c>
      <c r="O115" s="15"/>
      <c r="Q115" s="15"/>
      <c r="R115" s="15"/>
    </row>
    <row r="116" spans="10:19">
      <c r="J116" s="13"/>
      <c r="K116" s="12"/>
      <c r="L116" s="12"/>
      <c r="M116" s="12" t="s">
        <v>138</v>
      </c>
      <c r="O116" s="15"/>
      <c r="Q116" s="15"/>
      <c r="R116" s="15"/>
    </row>
    <row r="117" spans="10:19">
      <c r="J117" s="13"/>
      <c r="K117" s="12"/>
      <c r="L117" s="12"/>
      <c r="M117" s="12" t="s">
        <v>139</v>
      </c>
      <c r="O117" s="15"/>
      <c r="Q117" s="15"/>
      <c r="R117" s="15"/>
    </row>
    <row r="118" spans="10:19">
      <c r="J118" s="13"/>
      <c r="K118" s="12"/>
      <c r="L118" s="12"/>
      <c r="M118" s="12" t="s">
        <v>140</v>
      </c>
      <c r="O118" s="15"/>
      <c r="Q118" s="15"/>
      <c r="R118" s="15"/>
    </row>
    <row r="119" spans="10:19" ht="60">
      <c r="J119" s="13">
        <v>45380</v>
      </c>
      <c r="K119" s="12" t="s">
        <v>141</v>
      </c>
      <c r="L119" s="12"/>
      <c r="M119" s="12" t="s">
        <v>142</v>
      </c>
      <c r="Q119" s="15">
        <v>2</v>
      </c>
      <c r="R119" s="15">
        <v>3</v>
      </c>
      <c r="S119" s="15">
        <v>3</v>
      </c>
    </row>
    <row r="120" spans="10:19">
      <c r="J120" s="13"/>
      <c r="K120" s="12"/>
      <c r="L120" s="12"/>
      <c r="M120" s="12" t="s">
        <v>143</v>
      </c>
      <c r="Q120" s="15"/>
      <c r="R120" s="15"/>
      <c r="S120" s="15"/>
    </row>
    <row r="121" spans="10:19" ht="30">
      <c r="J121" s="13"/>
      <c r="K121" s="12"/>
      <c r="L121" s="12"/>
      <c r="M121" s="12" t="s">
        <v>144</v>
      </c>
      <c r="Q121" s="15"/>
      <c r="R121" s="15"/>
      <c r="S121" s="15"/>
    </row>
    <row r="122" spans="10:19" ht="30">
      <c r="J122" s="13"/>
      <c r="K122" s="12"/>
      <c r="L122" s="12"/>
      <c r="M122" s="12" t="s">
        <v>145</v>
      </c>
      <c r="Q122" s="15"/>
      <c r="R122" s="15"/>
      <c r="S122" s="15"/>
    </row>
    <row r="123" spans="10:19" ht="30">
      <c r="J123" s="13"/>
      <c r="K123" s="12"/>
      <c r="L123" s="12"/>
      <c r="M123" s="12" t="s">
        <v>146</v>
      </c>
      <c r="Q123" s="15"/>
      <c r="R123" s="15"/>
      <c r="S123" s="15"/>
    </row>
    <row r="124" spans="10:19" ht="45">
      <c r="J124" s="13">
        <v>45383</v>
      </c>
      <c r="K124" s="12" t="s">
        <v>141</v>
      </c>
      <c r="L124" s="12"/>
      <c r="M124" s="12" t="s">
        <v>147</v>
      </c>
      <c r="O124" s="15">
        <v>1</v>
      </c>
      <c r="Q124" s="15">
        <v>1</v>
      </c>
      <c r="R124" s="15">
        <v>6</v>
      </c>
      <c r="S124" s="15"/>
    </row>
    <row r="125" spans="10:19">
      <c r="J125" s="13"/>
      <c r="K125" s="12"/>
      <c r="L125" s="12"/>
      <c r="M125" s="12" t="s">
        <v>148</v>
      </c>
      <c r="O125" s="15"/>
      <c r="Q125" s="15"/>
      <c r="R125" s="15"/>
      <c r="S125" s="15"/>
    </row>
    <row r="126" spans="10:19" ht="75" customHeight="1">
      <c r="J126" s="13"/>
      <c r="K126" s="12"/>
      <c r="L126" s="12"/>
      <c r="O126" s="15"/>
      <c r="Q126" s="15"/>
      <c r="R126" s="15"/>
      <c r="S126" s="15"/>
    </row>
    <row r="127" spans="10:19" ht="75" customHeight="1">
      <c r="J127" s="13">
        <v>45384</v>
      </c>
      <c r="K127" s="12" t="s">
        <v>150</v>
      </c>
      <c r="L127" s="12"/>
      <c r="M127" s="12" t="s">
        <v>149</v>
      </c>
      <c r="O127" s="15"/>
      <c r="Q127" s="15">
        <v>4</v>
      </c>
      <c r="R127" s="15">
        <v>2</v>
      </c>
      <c r="S127" s="16">
        <v>2</v>
      </c>
    </row>
    <row r="128" spans="10:19">
      <c r="M128" s="12" t="s">
        <v>153</v>
      </c>
      <c r="O128" s="15"/>
      <c r="Q128" s="15"/>
      <c r="R128" s="15"/>
      <c r="S128" s="16"/>
    </row>
    <row r="129" spans="2:20" ht="75" customHeight="1">
      <c r="J129" s="13"/>
      <c r="K129" s="12"/>
      <c r="L129" s="12"/>
      <c r="M129" s="12" t="s">
        <v>151</v>
      </c>
      <c r="O129" s="15"/>
      <c r="Q129" s="15"/>
      <c r="R129" s="15"/>
      <c r="S129" s="16"/>
    </row>
    <row r="130" spans="2:20">
      <c r="N130">
        <f>SUM(N15:N129)</f>
        <v>11</v>
      </c>
      <c r="O130">
        <f>SUM(O15:O129)</f>
        <v>14</v>
      </c>
      <c r="Q130">
        <f>SUM(Q15:Q129)</f>
        <v>82</v>
      </c>
      <c r="R130">
        <f>SUM(R15:R129)</f>
        <v>190</v>
      </c>
      <c r="S130">
        <f>SUM(S15:S129)</f>
        <v>8</v>
      </c>
      <c r="T130">
        <f>SUM(N130:S130)</f>
        <v>305</v>
      </c>
    </row>
    <row r="131" spans="2:20">
      <c r="M131" s="7" t="s">
        <v>25</v>
      </c>
      <c r="N131" s="7" t="s">
        <v>158</v>
      </c>
      <c r="O131" s="7" t="s">
        <v>157</v>
      </c>
    </row>
    <row r="132" spans="2:20">
      <c r="J132" s="13">
        <v>45384</v>
      </c>
      <c r="L132" s="18" t="s">
        <v>19</v>
      </c>
      <c r="M132" s="15">
        <v>2</v>
      </c>
      <c r="N132" s="15"/>
      <c r="O132" s="15"/>
    </row>
    <row r="133" spans="2:20" ht="30">
      <c r="B133" s="13">
        <v>45385</v>
      </c>
      <c r="C133" s="12" t="s">
        <v>150</v>
      </c>
      <c r="D133" s="12"/>
      <c r="F133" s="15"/>
      <c r="G133" s="15"/>
      <c r="H133" s="15"/>
      <c r="J133" s="13">
        <v>45385</v>
      </c>
      <c r="L133" s="15"/>
      <c r="M133" s="15"/>
      <c r="N133" s="15"/>
      <c r="O133" s="15"/>
    </row>
    <row r="134" spans="2:20">
      <c r="B134" s="13"/>
      <c r="C134" s="12"/>
      <c r="D134" s="12"/>
      <c r="F134" s="15"/>
      <c r="G134" s="15"/>
      <c r="H134" s="15"/>
      <c r="J134" s="13">
        <v>45386</v>
      </c>
      <c r="L134" s="15"/>
      <c r="M134" s="15"/>
      <c r="N134" s="15"/>
      <c r="O134" s="15"/>
    </row>
    <row r="135" spans="2:20" ht="30">
      <c r="B135" s="13">
        <v>45386</v>
      </c>
      <c r="C135" s="12" t="s">
        <v>150</v>
      </c>
      <c r="D135" s="12"/>
      <c r="F135" s="15"/>
      <c r="G135" s="15"/>
      <c r="H135" s="15"/>
      <c r="J135" s="13">
        <v>45387</v>
      </c>
      <c r="K135" s="7" t="s">
        <v>154</v>
      </c>
      <c r="L135" s="15"/>
      <c r="M135" s="15"/>
      <c r="N135" s="15"/>
      <c r="O135" s="15"/>
    </row>
    <row r="136" spans="2:20">
      <c r="B136" s="13"/>
      <c r="C136" s="12"/>
      <c r="D136" s="12"/>
      <c r="F136" s="15"/>
      <c r="G136" s="15"/>
      <c r="H136" s="15"/>
      <c r="J136" s="13">
        <v>45390</v>
      </c>
      <c r="L136" s="15"/>
      <c r="M136" s="15"/>
      <c r="N136" s="15"/>
      <c r="O136" s="15"/>
    </row>
    <row r="137" spans="2:20" ht="30">
      <c r="B137" s="13">
        <v>45387</v>
      </c>
      <c r="C137" s="12" t="s">
        <v>150</v>
      </c>
      <c r="D137" s="12"/>
      <c r="E137" s="15"/>
      <c r="F137" s="15"/>
      <c r="G137" s="15"/>
      <c r="H137" s="15"/>
      <c r="J137" s="13">
        <v>45391</v>
      </c>
    </row>
    <row r="138" spans="2:20">
      <c r="E138" s="15"/>
      <c r="F138" s="15"/>
      <c r="G138" s="15"/>
      <c r="H138" s="15"/>
      <c r="J138" s="13">
        <v>45392</v>
      </c>
    </row>
    <row r="139" spans="2:20">
      <c r="J139" s="13">
        <v>45393</v>
      </c>
    </row>
    <row r="140" spans="2:20">
      <c r="J140" s="13">
        <v>45394</v>
      </c>
    </row>
    <row r="141" spans="2:20">
      <c r="J141" s="13">
        <v>45397</v>
      </c>
    </row>
    <row r="142" spans="2:20">
      <c r="J142" s="13">
        <v>45398</v>
      </c>
    </row>
    <row r="143" spans="2:20">
      <c r="J143" s="13">
        <v>45399</v>
      </c>
    </row>
    <row r="144" spans="2:20">
      <c r="J144" s="13">
        <v>45400</v>
      </c>
      <c r="K144" s="7" t="s">
        <v>155</v>
      </c>
      <c r="L144" s="7"/>
    </row>
    <row r="145" spans="10:12">
      <c r="J145" s="13">
        <v>45401</v>
      </c>
      <c r="K145" s="7" t="s">
        <v>156</v>
      </c>
      <c r="L145" s="7"/>
    </row>
    <row r="146" spans="10:12">
      <c r="J146" s="13">
        <v>45404</v>
      </c>
    </row>
    <row r="147" spans="10:12">
      <c r="J147" s="13">
        <v>45405</v>
      </c>
    </row>
    <row r="148" spans="10:12">
      <c r="J148" s="13">
        <v>45406</v>
      </c>
    </row>
    <row r="149" spans="10:12">
      <c r="J149" s="13">
        <v>45407</v>
      </c>
    </row>
    <row r="150" spans="10:12">
      <c r="J150" s="13">
        <v>45408</v>
      </c>
    </row>
  </sheetData>
  <mergeCells count="98">
    <mergeCell ref="E137:E138"/>
    <mergeCell ref="F137:F138"/>
    <mergeCell ref="G137:G138"/>
    <mergeCell ref="H137:H138"/>
    <mergeCell ref="S127:S129"/>
    <mergeCell ref="L132:L136"/>
    <mergeCell ref="M132:M136"/>
    <mergeCell ref="N132:N136"/>
    <mergeCell ref="O132:O136"/>
    <mergeCell ref="F133:F134"/>
    <mergeCell ref="G133:G134"/>
    <mergeCell ref="H133:H134"/>
    <mergeCell ref="F135:F136"/>
    <mergeCell ref="G135:G136"/>
    <mergeCell ref="H135:H136"/>
    <mergeCell ref="O127:O129"/>
    <mergeCell ref="Q127:Q129"/>
    <mergeCell ref="R127:R129"/>
    <mergeCell ref="S119:S123"/>
    <mergeCell ref="Q124:Q126"/>
    <mergeCell ref="R124:R126"/>
    <mergeCell ref="S124:S126"/>
    <mergeCell ref="O124:O126"/>
    <mergeCell ref="Q114:Q118"/>
    <mergeCell ref="R114:R118"/>
    <mergeCell ref="O114:O118"/>
    <mergeCell ref="Q119:Q123"/>
    <mergeCell ref="R119:R123"/>
    <mergeCell ref="Q100:Q105"/>
    <mergeCell ref="R100:R105"/>
    <mergeCell ref="Q106:Q109"/>
    <mergeCell ref="R106:R109"/>
    <mergeCell ref="Q110:Q113"/>
    <mergeCell ref="R110:R113"/>
    <mergeCell ref="Q90:Q92"/>
    <mergeCell ref="R90:R92"/>
    <mergeCell ref="Q93:Q96"/>
    <mergeCell ref="R93:R96"/>
    <mergeCell ref="Q97:Q99"/>
    <mergeCell ref="R97:R99"/>
    <mergeCell ref="O83:O87"/>
    <mergeCell ref="Q83:Q87"/>
    <mergeCell ref="R83:R87"/>
    <mergeCell ref="Q88:Q89"/>
    <mergeCell ref="R88:R89"/>
    <mergeCell ref="Q75:Q77"/>
    <mergeCell ref="R75:R77"/>
    <mergeCell ref="Q78:Q79"/>
    <mergeCell ref="R78:R79"/>
    <mergeCell ref="Q80:Q82"/>
    <mergeCell ref="R80:R82"/>
    <mergeCell ref="Q69:Q71"/>
    <mergeCell ref="R69:R71"/>
    <mergeCell ref="O72:O74"/>
    <mergeCell ref="Q72:Q74"/>
    <mergeCell ref="R72:R74"/>
    <mergeCell ref="Q60:Q62"/>
    <mergeCell ref="R60:R62"/>
    <mergeCell ref="Q63:Q65"/>
    <mergeCell ref="R63:R65"/>
    <mergeCell ref="Q66:Q68"/>
    <mergeCell ref="R66:R68"/>
    <mergeCell ref="O54:O55"/>
    <mergeCell ref="Q54:Q55"/>
    <mergeCell ref="R54:R55"/>
    <mergeCell ref="Q57:Q59"/>
    <mergeCell ref="R57:R59"/>
    <mergeCell ref="Q50:Q51"/>
    <mergeCell ref="R50:R51"/>
    <mergeCell ref="S50:S51"/>
    <mergeCell ref="Q52:Q53"/>
    <mergeCell ref="R52:R53"/>
    <mergeCell ref="Q43:Q46"/>
    <mergeCell ref="R43:R46"/>
    <mergeCell ref="S43:S46"/>
    <mergeCell ref="R47:R49"/>
    <mergeCell ref="Q47:Q49"/>
    <mergeCell ref="S47:S49"/>
    <mergeCell ref="Q35:Q37"/>
    <mergeCell ref="R35:R37"/>
    <mergeCell ref="Q38:Q39"/>
    <mergeCell ref="R38:R39"/>
    <mergeCell ref="Q41:Q42"/>
    <mergeCell ref="R41:R42"/>
    <mergeCell ref="Q26:Q28"/>
    <mergeCell ref="R26:R28"/>
    <mergeCell ref="Q29:Q31"/>
    <mergeCell ref="R29:R31"/>
    <mergeCell ref="Q32:Q34"/>
    <mergeCell ref="R32:R34"/>
    <mergeCell ref="R18:R20"/>
    <mergeCell ref="Q21:Q23"/>
    <mergeCell ref="R21:R23"/>
    <mergeCell ref="Q24:Q25"/>
    <mergeCell ref="R24:R25"/>
    <mergeCell ref="N18:N20"/>
    <mergeCell ref="O18:O20"/>
    <mergeCell ref="Q18:Q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804F-5B77-467C-9CA4-A3AB3AF62859}">
  <dimension ref="A1:R10"/>
  <sheetViews>
    <sheetView tabSelected="1" workbookViewId="0">
      <selection activeCell="R10" sqref="R10"/>
    </sheetView>
  </sheetViews>
  <sheetFormatPr defaultRowHeight="15"/>
  <cols>
    <col min="1" max="1" width="31.42578125" bestFit="1" customWidth="1"/>
  </cols>
  <sheetData>
    <row r="1" spans="1:18">
      <c r="A1" s="2" t="s">
        <v>0</v>
      </c>
      <c r="B1" s="2" t="s">
        <v>1</v>
      </c>
      <c r="C1" s="2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3"/>
      <c r="P1" s="3" t="s">
        <v>27</v>
      </c>
      <c r="Q1" s="17" t="s">
        <v>4</v>
      </c>
      <c r="R1" s="2" t="s">
        <v>5</v>
      </c>
    </row>
    <row r="2" spans="1:18"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/>
      <c r="M2" s="4" t="s">
        <v>14</v>
      </c>
      <c r="N2" s="4" t="s">
        <v>15</v>
      </c>
      <c r="O2" s="8" t="s">
        <v>23</v>
      </c>
      <c r="P2" s="8"/>
    </row>
    <row r="3" spans="1:18">
      <c r="A3" t="s">
        <v>16</v>
      </c>
      <c r="D3">
        <v>2.5</v>
      </c>
      <c r="E3">
        <v>2.5</v>
      </c>
      <c r="F3">
        <v>1.5</v>
      </c>
      <c r="G3">
        <v>1</v>
      </c>
      <c r="H3">
        <v>1.5</v>
      </c>
      <c r="I3">
        <v>1</v>
      </c>
      <c r="J3">
        <v>1</v>
      </c>
      <c r="K3">
        <v>1</v>
      </c>
      <c r="M3">
        <v>1</v>
      </c>
      <c r="N3">
        <v>1</v>
      </c>
      <c r="R3">
        <f>SUM(B3:Q3)</f>
        <v>14</v>
      </c>
    </row>
    <row r="4" spans="1:18">
      <c r="A4" t="s">
        <v>17</v>
      </c>
      <c r="B4">
        <v>11</v>
      </c>
      <c r="C4">
        <v>192</v>
      </c>
      <c r="D4" s="10">
        <v>15</v>
      </c>
      <c r="E4" s="10"/>
      <c r="F4">
        <v>2</v>
      </c>
      <c r="O4">
        <v>1</v>
      </c>
      <c r="P4">
        <v>8</v>
      </c>
      <c r="Q4">
        <v>82</v>
      </c>
      <c r="R4">
        <f>SUM(B4:Q4)</f>
        <v>311</v>
      </c>
    </row>
    <row r="5" spans="1:18">
      <c r="A5" s="7" t="s">
        <v>19</v>
      </c>
      <c r="C5">
        <v>12</v>
      </c>
      <c r="D5">
        <v>2</v>
      </c>
      <c r="E5">
        <v>0.5</v>
      </c>
      <c r="F5">
        <v>1</v>
      </c>
      <c r="Q5">
        <v>16</v>
      </c>
      <c r="R5">
        <f>SUM(B5:Q5)</f>
        <v>31.5</v>
      </c>
    </row>
    <row r="6" spans="1:18">
      <c r="A6" s="7" t="s">
        <v>20</v>
      </c>
      <c r="C6">
        <v>12</v>
      </c>
      <c r="F6">
        <v>2</v>
      </c>
      <c r="Q6">
        <v>12</v>
      </c>
      <c r="R6">
        <f>SUM(B6:Q6)</f>
        <v>26</v>
      </c>
    </row>
    <row r="7" spans="1:18">
      <c r="A7" s="7" t="s">
        <v>21</v>
      </c>
      <c r="C7">
        <v>10</v>
      </c>
      <c r="F7">
        <v>2</v>
      </c>
      <c r="Q7">
        <v>4</v>
      </c>
      <c r="R7">
        <f>SUM(B7:Q7)</f>
        <v>16</v>
      </c>
    </row>
    <row r="8" spans="1:18">
      <c r="A8" s="7" t="s">
        <v>22</v>
      </c>
      <c r="C8">
        <v>8</v>
      </c>
      <c r="F8">
        <v>2</v>
      </c>
      <c r="Q8">
        <v>12</v>
      </c>
      <c r="R8">
        <f>SUM(B8:Q8)</f>
        <v>22</v>
      </c>
    </row>
    <row r="9" spans="1:18">
      <c r="A9" s="7" t="s">
        <v>159</v>
      </c>
      <c r="B9">
        <v>40</v>
      </c>
      <c r="R9">
        <v>40</v>
      </c>
    </row>
    <row r="10" spans="1:18">
      <c r="Q10" s="5" t="s">
        <v>18</v>
      </c>
      <c r="R10">
        <f>SUM(R3:R9)</f>
        <v>460.5</v>
      </c>
    </row>
  </sheetData>
  <mergeCells count="2">
    <mergeCell ref="D1:N1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2024-04-19T09:39:00Z</dcterms:created>
  <dcterms:modified xsi:type="dcterms:W3CDTF">2024-05-01T09:45:38Z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82E4CE77BCB448A392B5077E0339D30C_11</vt:lpwstr>
  </property>
  <property fmtid="{D5CDD505-2E9C-101B-9397-08002B2CF9AE}" pid="3" name="KSOProductBuildVer">
    <vt:lpwstr>1033-12.2.0.16731</vt:lpwstr>
  </property>
</Properties>
</file>