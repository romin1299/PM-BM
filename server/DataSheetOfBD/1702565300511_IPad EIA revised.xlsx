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drawings/drawing6.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codeName="ThisWorkbook"/>
  <mc:AlternateContent xmlns:mc="http://schemas.openxmlformats.org/markup-compatibility/2006">
    <mc:Choice Requires="x15">
      <x15ac:absPath xmlns:x15ac="http://schemas.microsoft.com/office/spreadsheetml/2010/11/ac" url="\\172.28.61.3\common\PRDJ\00. SYSTEM GROUP\01PRASHANT\01System Group\IOT\FY'23\Smart Gemba Management\iPad EIA approval\"/>
    </mc:Choice>
  </mc:AlternateContent>
  <xr:revisionPtr revIDLastSave="0" documentId="13_ncr:1_{33B76702-325B-400E-B570-BDE643173D2F}" xr6:coauthVersionLast="47" xr6:coauthVersionMax="47" xr10:uidLastSave="{00000000-0000-0000-0000-000000000000}"/>
  <bookViews>
    <workbookView xWindow="-120" yWindow="-120" windowWidth="29040" windowHeight="15840" tabRatio="661" xr2:uid="{00000000-000D-0000-FFFF-FFFF00000000}"/>
  </bookViews>
  <sheets>
    <sheet name="Pg1 Checklist" sheetId="11" r:id="rId1"/>
    <sheet name="Pg2 COVER SHEET" sheetId="8" r:id="rId2"/>
    <sheet name="Pg3 budget Control Sheet" sheetId="7" r:id="rId3"/>
    <sheet name="Pg4 Unplanned EIA Form" sheetId="12" r:id="rId4"/>
    <sheet name="Ref. infrm" sheetId="5" state="hidden" r:id="rId5"/>
    <sheet name="Pg1 Sample" sheetId="10" r:id="rId6"/>
    <sheet name="Sheet1" sheetId="13" r:id="rId7"/>
  </sheets>
  <externalReferences>
    <externalReference r:id="rId8"/>
    <externalReference r:id="rId9"/>
  </externalReferences>
  <definedNames>
    <definedName name="_tel1" localSheetId="5">'Pg1 Sample'!$X$6</definedName>
    <definedName name="_tel1" localSheetId="1">'Pg2 COVER SHEET'!$X$11</definedName>
    <definedName name="_tel1">#REF!</definedName>
    <definedName name="_tel2" localSheetId="5">'Pg1 Sample'!$Z$6</definedName>
    <definedName name="_tel2" localSheetId="1">'Pg2 COVER SHEET'!$Z$11</definedName>
    <definedName name="_tel2">#REF!</definedName>
    <definedName name="haikyakuUmu" localSheetId="5">'[1]Ref. infrm'!#REF!</definedName>
    <definedName name="haikyakuUmu">'Ref. infrm'!#REF!</definedName>
    <definedName name="ichibuHaikyakuUmu1" localSheetId="5">'[1]Ref. infrm'!#REF!</definedName>
    <definedName name="ichibuHaikyakuUmu1">'Ref. infrm'!#REF!</definedName>
    <definedName name="ichibuHaikyakuUmu2" localSheetId="5">'[1]Ref. infrm'!#REF!</definedName>
    <definedName name="ichibuHaikyakuUmu2">'Ref. infrm'!#REF!</definedName>
    <definedName name="ichibuHaikyakuUmu3" localSheetId="5">'[1]Ref. infrm'!#REF!</definedName>
    <definedName name="ichibuHaikyakuUmu3">'Ref. infrm'!#REF!</definedName>
    <definedName name="kaishuKikan" localSheetId="5">'Pg1 Sample'!$H$50</definedName>
    <definedName name="kaishuKikan" localSheetId="1">'Pg2 COVER SHEET'!$H$47</definedName>
    <definedName name="kaishuKikan">#REF!</definedName>
    <definedName name="kaizoUmu" localSheetId="5">'[1]Ref. infrm'!#REF!</definedName>
    <definedName name="kaizoUmu">'Ref. infrm'!#REF!</definedName>
    <definedName name="keihiKingaku" localSheetId="5">'Pg1 Sample'!$V$17</definedName>
    <definedName name="keihiKingaku" localSheetId="1">'Pg2 COVER SHEET'!$V$17</definedName>
    <definedName name="keihiKingaku">#REF!</definedName>
    <definedName name="kenmei" localSheetId="5">'Pg1 Sample'!$E$12</definedName>
    <definedName name="kenmei" localSheetId="1">'Pg2 COVER SHEET'!$E$12</definedName>
    <definedName name="kenmei">#REF!</definedName>
    <definedName name="kensaKiji1" localSheetId="5">'Pg1 Sample'!#REF!</definedName>
    <definedName name="kensaKiji1" localSheetId="1">'Pg2 COVER SHEET'!#REF!</definedName>
    <definedName name="kensaKiji1">#REF!</definedName>
    <definedName name="kensaKiji2" localSheetId="5">'Pg1 Sample'!$R$53</definedName>
    <definedName name="kensaKiji2" localSheetId="1">'Pg2 COVER SHEET'!$R$50</definedName>
    <definedName name="kensaKiji2">#REF!</definedName>
    <definedName name="mailNo" localSheetId="5">'Pg1 Sample'!$T$5</definedName>
    <definedName name="mailNo" localSheetId="1">'Pg2 COVER SHEET'!$T$10</definedName>
    <definedName name="mailNo">#REF!</definedName>
    <definedName name="makermei1" localSheetId="5">'Pg1 Sample'!$U$36</definedName>
    <definedName name="makermei1" localSheetId="1">'Pg2 COVER SHEET'!$U$34</definedName>
    <definedName name="makermei1">#REF!</definedName>
    <definedName name="makermei2" localSheetId="5">'Pg1 Sample'!$U$37</definedName>
    <definedName name="makermei2" localSheetId="1">'Pg2 COVER SHEET'!$U$35</definedName>
    <definedName name="makermei2">#REF!</definedName>
    <definedName name="_xlnm.Print_Area" localSheetId="5">'Pg1 Sample'!$B$1:$AA$63</definedName>
    <definedName name="_xlnm.Print_Area" localSheetId="1">'Pg2 COVER SHEET'!$B$1:$AA$63</definedName>
    <definedName name="_xlnm.Print_Area" localSheetId="2">'Pg3 budget Control Sheet'!$A$1:$K$51</definedName>
    <definedName name="_xlnm.Print_Area" localSheetId="3">'Pg4 Unplanned EIA Form'!$A$1:$AT$85</definedName>
    <definedName name="seihinJumyo" localSheetId="5">'Pg1 Sample'!$H$53</definedName>
    <definedName name="seihinJumyo" localSheetId="1">'Pg2 COVER SHEET'!$H$50</definedName>
    <definedName name="seihinJumyo">#REF!</definedName>
    <definedName name="seihinmei" localSheetId="5">'Pg1 Sample'!$R$21</definedName>
    <definedName name="seihinmei" localSheetId="1">'Pg2 COVER SHEET'!$R$21</definedName>
    <definedName name="seihinmei">#REF!</definedName>
    <definedName name="setchiBumonNo" localSheetId="5">'Pg1 Sample'!$P$15</definedName>
    <definedName name="setchiBumonNo" localSheetId="1">'Pg2 COVER SHEET'!$P$15</definedName>
    <definedName name="setchiBumonNo">#REF!</definedName>
    <definedName name="setchiDaisu" localSheetId="5">'Pg1 Sample'!$D$15</definedName>
    <definedName name="setchiDaisu" localSheetId="1">'Pg2 COVER SHEET'!$D$15</definedName>
    <definedName name="setchiDaisu">#REF!</definedName>
    <definedName name="setchiJikiDay" localSheetId="5">'Pg1 Sample'!#REF!</definedName>
    <definedName name="setchiJikiDay" localSheetId="1">'Pg2 COVER SHEET'!#REF!</definedName>
    <definedName name="setchiJikiDay">#REF!</definedName>
    <definedName name="setchiJikiMonth" localSheetId="5">'Pg1 Sample'!#REF!</definedName>
    <definedName name="setchiJikiMonth" localSheetId="1">'Pg2 COVER SHEET'!#REF!</definedName>
    <definedName name="setchiJikiMonth">#REF!</definedName>
    <definedName name="setchiJikiYear" localSheetId="5">'Pg1 Sample'!$AD$15</definedName>
    <definedName name="setchiJikiYear" localSheetId="1">'Pg2 COVER SHEET'!$AD$15</definedName>
    <definedName name="setchiJikiYear">#REF!</definedName>
    <definedName name="setchiTaniKbn" localSheetId="5">'[1]Ref. infrm'!#REF!</definedName>
    <definedName name="setchiTaniKbn">'Ref. infrm'!#REF!</definedName>
    <definedName name="setsubiCostdown" localSheetId="5">'Pg1 Sample'!$U$42</definedName>
    <definedName name="setsubiCostdown" localSheetId="1">'Pg2 COVER SHEET'!$U$40</definedName>
    <definedName name="setsubiCostdown">#REF!</definedName>
    <definedName name="shinseiKaShitsu" localSheetId="5">'Pg1 Sample'!#REF!</definedName>
    <definedName name="shinseiKaShitsu" localSheetId="1">'Pg2 COVER SHEET'!#REF!</definedName>
    <definedName name="shinseiKaShitsu">#REF!</definedName>
    <definedName name="shinseiKbnBaikyaku" localSheetId="5">'[1]Ref. infrm'!#REF!</definedName>
    <definedName name="shinseiKbnBaikyaku">'Ref. infrm'!#REF!</definedName>
    <definedName name="shinseiKbnChushi" localSheetId="5">'[1]Ref. infrm'!#REF!</definedName>
    <definedName name="shinseiKbnChushi">'Ref. infrm'!#REF!</definedName>
    <definedName name="shinseiKbnShutoku" localSheetId="5">'[1]Ref. infrm'!#REF!</definedName>
    <definedName name="shinseiKbnShutoku">'Ref. infrm'!#REF!</definedName>
    <definedName name="shinseiKbnTuika" localSheetId="5">'[1]Ref. infrm'!#REF!</definedName>
    <definedName name="shinseiKbnTuika">'Ref. infrm'!#REF!</definedName>
    <definedName name="shinseiKingaku" localSheetId="5">'Pg1 Sample'!$H$17</definedName>
    <definedName name="shinseiKingaku" localSheetId="1">'Pg2 COVER SHEET'!$H$17</definedName>
    <definedName name="shinseiKingaku">#REF!</definedName>
    <definedName name="shouene" localSheetId="5">'Pg1 Sample'!$N$52</definedName>
    <definedName name="shouene" localSheetId="1">'Pg2 COVER SHEET'!$N$49</definedName>
    <definedName name="shouene">#REF!</definedName>
    <definedName name="shouninzu" localSheetId="5">'Pg1 Sample'!$R$50</definedName>
    <definedName name="shouninzu" localSheetId="1">'Pg2 COVER SHEET'!$R$47</definedName>
    <definedName name="shouninzu">#REF!</definedName>
    <definedName name="shoushigen" localSheetId="5">'Pg1 Sample'!$N$51</definedName>
    <definedName name="shoushigen" localSheetId="1">'Pg2 COVER SHEET'!$N$48</definedName>
    <definedName name="shoushigen">#REF!</definedName>
    <definedName name="softKingaku" localSheetId="5">'Pg1 Sample'!$Y$17</definedName>
    <definedName name="softKingaku" localSheetId="1">'Pg2 COVER SHEET'!$Y$17</definedName>
    <definedName name="softKingaku">#REF!</definedName>
    <definedName name="tantoshamei" localSheetId="5">'Pg1 Sample'!$T$6</definedName>
    <definedName name="tantoshamei" localSheetId="1">'Pg2 COVER SHEET'!$T$11</definedName>
    <definedName name="tantoshamei">#REF!</definedName>
    <definedName name="tenyoUmu" localSheetId="5">'[1]Ref. infrm'!#REF!</definedName>
    <definedName name="tenyoUmu">'Ref. infrm'!#REF!</definedName>
    <definedName name="toshiMokuteki1" localSheetId="5">'[1]Ref. infrm'!#REF!</definedName>
    <definedName name="toshiMokuteki1">'Ref. infrm'!#REF!</definedName>
    <definedName name="toshiMokuteki2" localSheetId="5">'[1]Ref. infrm'!#REF!</definedName>
    <definedName name="toshiMokuteki2">'Ref. infrm'!#REF!</definedName>
    <definedName name="toshiMokuteki3" localSheetId="5">'[1]Ref. infrm'!#REF!</definedName>
    <definedName name="toshiMokuteki3">'Ref. infrm'!#REF!</definedName>
    <definedName name="yosanKanriNo" localSheetId="5">'Pg1 Sample'!$W$12</definedName>
    <definedName name="yosanKanriNo" localSheetId="1">'Pg2 COVER SHEET'!$W$12</definedName>
    <definedName name="yosanKanriNo">#REF!</definedName>
    <definedName name="yosanKingaku" localSheetId="5">'Pg1 Sample'!$C$17</definedName>
    <definedName name="yosanKingaku" localSheetId="1">'Pg2 COVER SHEET'!$C$17</definedName>
    <definedName name="yosanKingaku">#REF!</definedName>
    <definedName name="yosanKubun" localSheetId="5">'[1]Ref. infrm'!#REF!</definedName>
    <definedName name="yosanKubun">'Ref. infrm'!#REF!</definedName>
    <definedName name="yosanSeiriNo" localSheetId="5">'Pg1 Sample'!$T$18</definedName>
    <definedName name="yosanSeiriNo" localSheetId="1">'Pg2 COVER SHEET'!$T$18</definedName>
    <definedName name="yosanSeiriNo">#REF!</definedName>
    <definedName name="yosanUmu" localSheetId="5">'[1]Ref. infrm'!#REF!</definedName>
    <definedName name="yosanUmu">'Ref. infrm'!#REF!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3" l="1"/>
  <c r="D4" i="13"/>
  <c r="D5" i="13"/>
  <c r="D6" i="13"/>
  <c r="D2" i="13"/>
  <c r="I32" i="7" l="1"/>
  <c r="I33" i="7"/>
  <c r="I31" i="7"/>
  <c r="X35" i="7" l="1"/>
  <c r="X33" i="7"/>
  <c r="J4" i="5" l="1"/>
  <c r="AF52" i="12"/>
  <c r="AF45" i="12"/>
  <c r="AB45" i="12"/>
  <c r="X45" i="12"/>
  <c r="T37" i="12"/>
  <c r="M37" i="12"/>
  <c r="AA36" i="12"/>
  <c r="AA35" i="12"/>
  <c r="AA37" i="12" s="1"/>
  <c r="AI25" i="12"/>
  <c r="AI22" i="12"/>
  <c r="AI16" i="12"/>
  <c r="A4" i="11"/>
  <c r="A5" i="11" s="1"/>
  <c r="A6" i="11" s="1"/>
  <c r="A7" i="11" s="1"/>
  <c r="A8" i="11" s="1"/>
  <c r="A9" i="11" s="1"/>
  <c r="A10" i="11" s="1"/>
  <c r="A11" i="11" s="1"/>
  <c r="A12" i="11" s="1"/>
  <c r="J12" i="5" l="1"/>
  <c r="J13" i="5"/>
  <c r="J14" i="5"/>
  <c r="J15" i="5"/>
  <c r="J16" i="5"/>
  <c r="J17" i="5"/>
  <c r="J18" i="5"/>
  <c r="J19" i="5"/>
  <c r="J11" i="5"/>
  <c r="J10" i="5"/>
  <c r="J9" i="5"/>
  <c r="J8" i="5"/>
  <c r="J7" i="5"/>
  <c r="J6" i="5"/>
  <c r="J5" i="5"/>
  <c r="AF20" i="10" l="1"/>
  <c r="AF21" i="10" s="1"/>
  <c r="AF24" i="10" s="1"/>
  <c r="Q32" i="7" l="1"/>
  <c r="N32" i="7"/>
  <c r="Q45" i="7"/>
  <c r="O34" i="7"/>
  <c r="P34" i="7" s="1"/>
  <c r="N34" i="7"/>
  <c r="Q31" i="7"/>
  <c r="Q34" i="7"/>
  <c r="N31" i="7"/>
  <c r="D41" i="7"/>
  <c r="H41" i="7"/>
  <c r="Q48" i="7"/>
  <c r="O48" i="7"/>
  <c r="P48" i="7" s="1"/>
  <c r="R48" i="7" s="1"/>
  <c r="J48" i="7" s="1"/>
  <c r="N48" i="7"/>
  <c r="Q49" i="7"/>
  <c r="O49" i="7"/>
  <c r="P49" i="7" s="1"/>
  <c r="R49" i="7" s="1"/>
  <c r="J49" i="7" s="1"/>
  <c r="N49" i="7"/>
  <c r="Q47" i="7"/>
  <c r="O47" i="7"/>
  <c r="P47" i="7" s="1"/>
  <c r="N47" i="7"/>
  <c r="Q46" i="7"/>
  <c r="O46" i="7"/>
  <c r="P46" i="7" s="1"/>
  <c r="N46" i="7"/>
  <c r="O45" i="7"/>
  <c r="P45" i="7" s="1"/>
  <c r="N45" i="7"/>
  <c r="Q40" i="7"/>
  <c r="Q39" i="7"/>
  <c r="Q38" i="7"/>
  <c r="Q37" i="7"/>
  <c r="Q36" i="7"/>
  <c r="Q35" i="7"/>
  <c r="Q33" i="7"/>
  <c r="O40" i="7"/>
  <c r="P40" i="7" s="1"/>
  <c r="O39" i="7"/>
  <c r="P39" i="7"/>
  <c r="R39" i="7" s="1"/>
  <c r="J39" i="7" s="1"/>
  <c r="O38" i="7"/>
  <c r="P38" i="7"/>
  <c r="O37" i="7"/>
  <c r="P37" i="7" s="1"/>
  <c r="O36" i="7"/>
  <c r="O35" i="7"/>
  <c r="P35" i="7" s="1"/>
  <c r="O33" i="7"/>
  <c r="P33" i="7" s="1"/>
  <c r="O32" i="7"/>
  <c r="O31" i="7"/>
  <c r="N40" i="7"/>
  <c r="N39" i="7"/>
  <c r="N38" i="7"/>
  <c r="N37" i="7"/>
  <c r="N36" i="7"/>
  <c r="N35" i="7"/>
  <c r="N33" i="7"/>
  <c r="I50" i="7"/>
  <c r="H50" i="7"/>
  <c r="D50" i="7"/>
  <c r="I41" i="7"/>
  <c r="W31" i="7"/>
  <c r="V31" i="7"/>
  <c r="P31" i="7" l="1"/>
  <c r="R31" i="7" s="1"/>
  <c r="J31" i="7" s="1"/>
  <c r="P32" i="7"/>
  <c r="R32" i="7" s="1"/>
  <c r="J32" i="7" s="1"/>
  <c r="R33" i="7"/>
  <c r="J33" i="7" s="1"/>
  <c r="R38" i="7"/>
  <c r="J38" i="7" s="1"/>
  <c r="R37" i="7"/>
  <c r="J37" i="7" s="1"/>
  <c r="R47" i="7"/>
  <c r="J47" i="7" s="1"/>
  <c r="Q50" i="7"/>
  <c r="N41" i="7"/>
  <c r="V36" i="7" s="1"/>
  <c r="Q41" i="7"/>
  <c r="O50" i="7"/>
  <c r="N50" i="7"/>
  <c r="R46" i="7"/>
  <c r="J46" i="7" s="1"/>
  <c r="R34" i="7"/>
  <c r="J34" i="7" s="1"/>
  <c r="R45" i="7"/>
  <c r="P50" i="7"/>
  <c r="R35" i="7"/>
  <c r="J35" i="7" s="1"/>
  <c r="R40" i="7"/>
  <c r="J40" i="7" s="1"/>
  <c r="P36" i="7"/>
  <c r="R36" i="7" s="1"/>
  <c r="J36" i="7" s="1"/>
  <c r="O41" i="7"/>
  <c r="P41" i="7" l="1"/>
  <c r="J41" i="7"/>
  <c r="W36" i="7"/>
  <c r="R41" i="7"/>
  <c r="R50" i="7"/>
  <c r="J45" i="7"/>
  <c r="J50" i="7" s="1"/>
  <c r="V41" i="7" l="1"/>
  <c r="X3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Ajay Dhall (U0010)</author>
  </authors>
  <commentList>
    <comment ref="V33" authorId="0" shapeId="0" xr:uid="{00000000-0006-0000-0200-000001000000}">
      <text>
        <r>
          <rPr>
            <b/>
            <sz val="9"/>
            <color indexed="81"/>
            <rFont val="Tahoma"/>
            <family val="2"/>
          </rPr>
          <t>Ajay Dhall (U0010):</t>
        </r>
        <r>
          <rPr>
            <sz val="9"/>
            <color indexed="81"/>
            <rFont val="Tahoma"/>
            <family val="2"/>
          </rPr>
          <t xml:space="preserve">
It will always be zero</t>
        </r>
      </text>
    </comment>
    <comment ref="W33" authorId="0" shapeId="0" xr:uid="{00000000-0006-0000-0200-000002000000}">
      <text>
        <r>
          <rPr>
            <b/>
            <sz val="9"/>
            <color indexed="81"/>
            <rFont val="Tahoma"/>
            <family val="2"/>
          </rPr>
          <t>Ajay Dhall (U0010):</t>
        </r>
        <r>
          <rPr>
            <sz val="9"/>
            <color indexed="81"/>
            <rFont val="Tahoma"/>
            <family val="2"/>
          </rPr>
          <t xml:space="preserve">
It will always be zero</t>
        </r>
      </text>
    </comment>
    <comment ref="V35" authorId="0" shapeId="0" xr:uid="{00000000-0006-0000-0200-000003000000}">
      <text>
        <r>
          <rPr>
            <b/>
            <sz val="9"/>
            <color indexed="81"/>
            <rFont val="Tahoma"/>
            <family val="2"/>
          </rPr>
          <t>Ajay Dhall (U0010):</t>
        </r>
        <r>
          <rPr>
            <sz val="9"/>
            <color indexed="81"/>
            <rFont val="Tahoma"/>
            <family val="2"/>
          </rPr>
          <t xml:space="preserve">
It will always be zero</t>
        </r>
      </text>
    </comment>
    <comment ref="W35" authorId="0" shapeId="0" xr:uid="{00000000-0006-0000-0200-000004000000}">
      <text>
        <r>
          <rPr>
            <b/>
            <sz val="9"/>
            <color indexed="81"/>
            <rFont val="Tahoma"/>
            <family val="2"/>
          </rPr>
          <t>Ajay Dhall (U0010):</t>
        </r>
        <r>
          <rPr>
            <sz val="9"/>
            <color indexed="81"/>
            <rFont val="Tahoma"/>
            <family val="2"/>
          </rPr>
          <t xml:space="preserve">
It will always be zero</t>
        </r>
      </text>
    </comment>
  </commentList>
</comments>
</file>

<file path=xl/sharedStrings.xml><?xml version="1.0" encoding="utf-8"?>
<sst xmlns="http://schemas.openxmlformats.org/spreadsheetml/2006/main" count="597" uniqueCount="399">
  <si>
    <t>A-1</t>
    <phoneticPr fontId="5"/>
  </si>
  <si>
    <t>A-2</t>
    <phoneticPr fontId="5"/>
  </si>
  <si>
    <t>B-1</t>
    <phoneticPr fontId="5"/>
  </si>
  <si>
    <t>B-2</t>
    <phoneticPr fontId="5"/>
  </si>
  <si>
    <t>B-3</t>
    <phoneticPr fontId="5"/>
  </si>
  <si>
    <t>C-1</t>
    <phoneticPr fontId="5"/>
  </si>
  <si>
    <t>C-2</t>
    <phoneticPr fontId="5"/>
  </si>
  <si>
    <t>C-3</t>
    <phoneticPr fontId="5"/>
  </si>
  <si>
    <t>D</t>
    <phoneticPr fontId="5"/>
  </si>
  <si>
    <t>H</t>
    <phoneticPr fontId="5"/>
  </si>
  <si>
    <t>I</t>
    <phoneticPr fontId="5"/>
  </si>
  <si>
    <t>J</t>
    <phoneticPr fontId="5"/>
  </si>
  <si>
    <t>Annual plan</t>
  </si>
  <si>
    <t>Application（KRs)</t>
  </si>
  <si>
    <t>kRs</t>
  </si>
  <si>
    <t>(Others）</t>
  </si>
  <si>
    <t>Budget</t>
  </si>
  <si>
    <t>pcs</t>
  </si>
  <si>
    <t>Subject</t>
  </si>
  <si>
    <t>Investment purpose</t>
  </si>
  <si>
    <t>&lt; Explain Current issue,needs specifically ...(Prod. Vol,Capacity,Work Load ,Capacity) &gt;</t>
  </si>
  <si>
    <t>sec</t>
  </si>
  <si>
    <t>%</t>
  </si>
  <si>
    <t>MD</t>
  </si>
  <si>
    <t>checked</t>
  </si>
  <si>
    <t>new</t>
  </si>
  <si>
    <t>repeat</t>
  </si>
  <si>
    <t>&lt;Cost down&gt;</t>
  </si>
  <si>
    <t>KRs</t>
  </si>
  <si>
    <t>%)</t>
  </si>
  <si>
    <t>(</t>
  </si>
  <si>
    <t>General</t>
  </si>
  <si>
    <t>Need control</t>
  </si>
  <si>
    <t>Need tight control</t>
  </si>
  <si>
    <t>&lt;Special notes&gt;</t>
  </si>
  <si>
    <t>Installation date(dd mm yy)</t>
  </si>
  <si>
    <t xml:space="preserve">   CD amount</t>
  </si>
  <si>
    <t>&lt;Prefered maker&gt;</t>
  </si>
  <si>
    <t>1st :</t>
  </si>
  <si>
    <t>2nd:</t>
  </si>
  <si>
    <t>&lt;Process,feature and structure of new equipment &gt;</t>
  </si>
  <si>
    <t>Overview of new equipment</t>
  </si>
  <si>
    <t>KRs/Y</t>
  </si>
  <si>
    <t>Effect</t>
  </si>
  <si>
    <t>Investment</t>
  </si>
  <si>
    <t xml:space="preserve">Saving cost/Y </t>
  </si>
  <si>
    <t>Y)</t>
  </si>
  <si>
    <t>Years</t>
  </si>
  <si>
    <t>manpower</t>
  </si>
  <si>
    <t>Saving</t>
  </si>
  <si>
    <t>Div.</t>
  </si>
  <si>
    <t>&lt;Payout time&gt;</t>
  </si>
  <si>
    <t xml:space="preserve">  check the appropriate box</t>
  </si>
  <si>
    <r>
      <t>&lt;Required specification&gt;</t>
    </r>
    <r>
      <rPr>
        <sz val="9"/>
        <rFont val="Arial Narrow"/>
        <family val="2"/>
      </rPr>
      <t xml:space="preserve">  check the appropriate box</t>
    </r>
  </si>
  <si>
    <t>Equipment Name</t>
  </si>
  <si>
    <t>A-1 Next generation(New Prod.）</t>
  </si>
  <si>
    <t>B-3 Sales expansion</t>
  </si>
  <si>
    <t>C-1 Saving manpower</t>
  </si>
  <si>
    <t>C-3 Saving energy</t>
  </si>
  <si>
    <t>Ｄ Renewal</t>
  </si>
  <si>
    <t>Ｅ Quality imp.</t>
  </si>
  <si>
    <t>Ｆ Test &amp; research</t>
  </si>
  <si>
    <t>J Others</t>
  </si>
  <si>
    <t>G</t>
  </si>
  <si>
    <t>H Benefit &amp; welfare</t>
  </si>
  <si>
    <t>G Safty &amp; Env.</t>
  </si>
  <si>
    <t>I Relocation</t>
  </si>
  <si>
    <t>F</t>
  </si>
  <si>
    <t>E</t>
  </si>
  <si>
    <t>Equipment Investment application</t>
  </si>
  <si>
    <t>Purpose Class</t>
  </si>
  <si>
    <t>Budget Class</t>
  </si>
  <si>
    <t>Purpose class</t>
  </si>
  <si>
    <t>Budget class</t>
  </si>
  <si>
    <t>Facility</t>
  </si>
  <si>
    <t>Y -</t>
  </si>
  <si>
    <t>Others</t>
  </si>
  <si>
    <t>Machine</t>
  </si>
  <si>
    <t>Die</t>
  </si>
  <si>
    <t>Jig</t>
  </si>
  <si>
    <t>Utility</t>
  </si>
  <si>
    <t>)</t>
  </si>
  <si>
    <t>(ID No</t>
  </si>
  <si>
    <t>Budget @annual plan</t>
  </si>
  <si>
    <t>No</t>
  </si>
  <si>
    <t>Exist</t>
  </si>
  <si>
    <r>
      <t>&lt;Prod. Plan / Work load&gt;</t>
    </r>
    <r>
      <rPr>
        <sz val="9"/>
        <rFont val="Arial Narrow"/>
        <family val="2"/>
      </rPr>
      <t xml:space="preserve">  *1 Mention about equipment</t>
    </r>
  </si>
  <si>
    <t>*1 CT :</t>
  </si>
  <si>
    <t>(Prod life-time:</t>
  </si>
  <si>
    <t>shift</t>
  </si>
  <si>
    <t>Location</t>
  </si>
  <si>
    <t>Sect.</t>
  </si>
  <si>
    <t>M/C No</t>
  </si>
  <si>
    <t>Scrap units</t>
  </si>
  <si>
    <t xml:space="preserve"> - Energy</t>
  </si>
  <si>
    <t xml:space="preserve"> - Expense etc</t>
  </si>
  <si>
    <t>DENSO Safety and QualityFirst</t>
  </si>
  <si>
    <t>One Sheet Is Best</t>
  </si>
  <si>
    <t>Disposal</t>
  </si>
  <si>
    <t>Diversion</t>
  </si>
  <si>
    <t>Modify</t>
  </si>
  <si>
    <t>Partial desposal</t>
  </si>
  <si>
    <t>In case 5 or more machine, prepare additional sheet.</t>
  </si>
  <si>
    <t>check the appropriate box</t>
  </si>
  <si>
    <t>Issue date:</t>
  </si>
  <si>
    <t>&lt;Treatment of Exsisting machines&gt;</t>
  </si>
  <si>
    <t xml:space="preserve"> </t>
  </si>
  <si>
    <t>Settlement No.
________________________________</t>
  </si>
  <si>
    <t>`</t>
  </si>
  <si>
    <t>unit : kRs</t>
  </si>
  <si>
    <t>item</t>
  </si>
  <si>
    <t>Application
amount</t>
  </si>
  <si>
    <t>balance</t>
  </si>
  <si>
    <t>Result</t>
  </si>
  <si>
    <t>total</t>
  </si>
  <si>
    <t>data for graph</t>
  </si>
  <si>
    <t>Machine,Jig(Result)</t>
  </si>
  <si>
    <t>Machine,Jig(prospect)</t>
  </si>
  <si>
    <t>Others(result)</t>
  </si>
  <si>
    <t>Others(prospect)</t>
  </si>
  <si>
    <t>Machine , Jig</t>
  </si>
  <si>
    <t>Detail list of Investment</t>
  </si>
  <si>
    <t>Print area is above</t>
  </si>
  <si>
    <t>(Machine,Jig)</t>
  </si>
  <si>
    <t>(=</t>
  </si>
  <si>
    <t>+</t>
  </si>
  <si>
    <t>INJ</t>
  </si>
  <si>
    <t>FP</t>
  </si>
  <si>
    <t>ECU</t>
  </si>
  <si>
    <t>O2</t>
  </si>
  <si>
    <t>VCT</t>
  </si>
  <si>
    <t>ETB</t>
  </si>
  <si>
    <t>CRS</t>
  </si>
  <si>
    <t>TH</t>
  </si>
  <si>
    <t>MET</t>
  </si>
  <si>
    <t>　</t>
  </si>
  <si>
    <t>Planning Section:</t>
  </si>
  <si>
    <t>Person in charge:</t>
  </si>
  <si>
    <t>Approved(HOD)</t>
  </si>
  <si>
    <t>Approved (COD)</t>
  </si>
  <si>
    <t>Prepare</t>
  </si>
  <si>
    <t>Application No</t>
  </si>
  <si>
    <t>Qty</t>
  </si>
  <si>
    <t>Production line:</t>
  </si>
  <si>
    <t>(Unplanned ID)</t>
  </si>
  <si>
    <t>*2 OEE</t>
  </si>
  <si>
    <t xml:space="preserve"> Reason if only 1maker:</t>
  </si>
  <si>
    <t>&lt;Reflection item from existing or similar machines(Quality , Maintenanc etcc&gt;</t>
  </si>
  <si>
    <t>Acquistion cost</t>
  </si>
  <si>
    <t xml:space="preserve">  Disposal cost</t>
  </si>
  <si>
    <t xml:space="preserve">Format No. FO/078/PE/06 </t>
  </si>
  <si>
    <t>revise Jul-2015</t>
  </si>
  <si>
    <r>
      <t>&lt;Define secret level&gt;</t>
    </r>
    <r>
      <rPr>
        <sz val="9"/>
        <rFont val="Arial Narrow"/>
        <family val="2"/>
      </rPr>
      <t xml:space="preserve">  check the appropriate box</t>
    </r>
  </si>
  <si>
    <t>m2</t>
  </si>
  <si>
    <t xml:space="preserve"> - Area</t>
  </si>
  <si>
    <t xml:space="preserve"> - Manpower</t>
  </si>
  <si>
    <t xml:space="preserve"> - Other</t>
  </si>
  <si>
    <t>Plant 1</t>
  </si>
  <si>
    <t>Gasoline</t>
  </si>
  <si>
    <t>ID NO.</t>
  </si>
  <si>
    <t>Actual cost Results</t>
  </si>
  <si>
    <t>Installation fee</t>
  </si>
  <si>
    <t>SV fee</t>
  </si>
  <si>
    <t>Utility fee</t>
  </si>
  <si>
    <t>Test pieces</t>
  </si>
  <si>
    <t>Others(                                      )</t>
  </si>
  <si>
    <t>Balance</t>
  </si>
  <si>
    <t>B-2 Inc. type of vehicle</t>
  </si>
  <si>
    <t>B-1 Inc. vehicle</t>
  </si>
  <si>
    <t>A-2 New model.</t>
  </si>
  <si>
    <t>C-2 Saving area</t>
  </si>
  <si>
    <t>C-4</t>
  </si>
  <si>
    <t>C-4 Saving resource</t>
  </si>
  <si>
    <t>K</t>
  </si>
  <si>
    <t>Overall Summary</t>
  </si>
  <si>
    <t>Projection</t>
  </si>
  <si>
    <t>DIR/COB</t>
  </si>
  <si>
    <t>EFM</t>
  </si>
  <si>
    <t>BLOWER</t>
  </si>
  <si>
    <t>WIPER</t>
  </si>
  <si>
    <t>PW</t>
  </si>
  <si>
    <t>OTHERS</t>
  </si>
  <si>
    <t>Fill area</t>
  </si>
  <si>
    <t>30.11.2015</t>
  </si>
  <si>
    <t>PED-Parts Engineering</t>
  </si>
  <si>
    <t>Arun</t>
  </si>
  <si>
    <t>Housing CNC Machine</t>
  </si>
  <si>
    <t>Housing machining</t>
  </si>
  <si>
    <t>2015-PRT-001</t>
  </si>
  <si>
    <t>Fuel Pump</t>
  </si>
  <si>
    <t>10-06-2016</t>
  </si>
  <si>
    <t>INR</t>
  </si>
  <si>
    <t>Investment (a)</t>
  </si>
  <si>
    <t>MIL</t>
  </si>
  <si>
    <t>Machine replacement</t>
  </si>
  <si>
    <t>Bearkdown/year</t>
  </si>
  <si>
    <t>hrs</t>
  </si>
  <si>
    <t>Parts loss/year</t>
  </si>
  <si>
    <t>(36 sec/part)</t>
  </si>
  <si>
    <r>
      <rPr>
        <b/>
        <sz val="9"/>
        <rFont val="Arial"/>
        <family val="2"/>
      </rPr>
      <t>&lt;Agenda&gt;:</t>
    </r>
    <r>
      <rPr>
        <sz val="9"/>
        <rFont val="Arial"/>
        <family val="2"/>
      </rPr>
      <t xml:space="preserve"> Machine is required to replace the old DMG make machine.
&lt;</t>
    </r>
    <r>
      <rPr>
        <b/>
        <sz val="9"/>
        <rFont val="Arial"/>
        <family val="2"/>
      </rPr>
      <t>Background&gt;</t>
    </r>
    <r>
      <rPr>
        <sz val="9"/>
        <rFont val="Arial"/>
        <family val="2"/>
      </rPr>
      <t xml:space="preserve">
Housing machining --&gt; DMG Machine
1. High breakdown
2. Overhauling cost very high
(Refer attached MTD data :- Page 3/6 &amp; 4/6).</t>
    </r>
  </si>
  <si>
    <t>Cost/year (b)</t>
  </si>
  <si>
    <t>41.02/part</t>
  </si>
  <si>
    <t>Maintenance cost/year (c)</t>
  </si>
  <si>
    <t>MTD data</t>
  </si>
  <si>
    <t>ROI/Payout time</t>
  </si>
  <si>
    <t>a/(b+c)</t>
  </si>
  <si>
    <t>yrs</t>
  </si>
  <si>
    <t>1. Semi-automatic machine.
2. ID Cutting &amp; OD chamfering of Housing component.</t>
  </si>
  <si>
    <t>ACE MICROMATIC</t>
  </si>
  <si>
    <t>Repeat machine &amp; low cost</t>
  </si>
  <si>
    <r>
      <t>1. Repeat machine (Make &amp; model are same with Unit-4)
2. Chip trolley height &amp; width increase from  800*600 mm</t>
    </r>
    <r>
      <rPr>
        <vertAlign val="superscript"/>
        <sz val="10"/>
        <rFont val="Arial"/>
        <family val="2"/>
      </rPr>
      <t>2</t>
    </r>
    <r>
      <rPr>
        <sz val="10"/>
        <rFont val="Arial"/>
        <family val="2"/>
      </rPr>
      <t>--&gt; 1000*800 mm</t>
    </r>
    <r>
      <rPr>
        <vertAlign val="superscript"/>
        <sz val="10"/>
        <rFont val="Arial"/>
        <family val="2"/>
      </rPr>
      <t>2</t>
    </r>
  </si>
  <si>
    <t>M-EN-FP-HSG-1-010-1</t>
  </si>
  <si>
    <t>Full machine</t>
  </si>
  <si>
    <t xml:space="preserve">HOD BP </t>
  </si>
  <si>
    <t>Authorised Signatory</t>
  </si>
  <si>
    <t>Approval Flow</t>
  </si>
  <si>
    <t>USER**</t>
  </si>
  <si>
    <t>BPD</t>
  </si>
  <si>
    <t>CoB/CoD/MD</t>
  </si>
  <si>
    <t>USER</t>
  </si>
  <si>
    <t>Lead Time</t>
  </si>
  <si>
    <t>3WD(Mon)</t>
  </si>
  <si>
    <t>2WD (Fri)</t>
  </si>
  <si>
    <t>1WD</t>
  </si>
  <si>
    <t>In Mangement meeting(Every Friday)</t>
  </si>
  <si>
    <t xml:space="preserve">For UNPLANNED BUDGET, User HoD must announce in CoD Meeting to get support from other divisions to manage company total CASH.
</t>
  </si>
  <si>
    <t>date&gt;&gt;</t>
  </si>
  <si>
    <t>sign&gt;&gt;</t>
  </si>
  <si>
    <t>Now Application（KRs)</t>
  </si>
  <si>
    <r>
      <t xml:space="preserve">CoD (VP &amp; above)
</t>
    </r>
    <r>
      <rPr>
        <sz val="5"/>
        <color rgb="FFFF0000"/>
        <rFont val="Arial"/>
        <family val="2"/>
      </rPr>
      <t>(for the related division)</t>
    </r>
  </si>
  <si>
    <t>AP</t>
  </si>
  <si>
    <t>RP</t>
  </si>
  <si>
    <t>&lt;Treatment of Existing machines&gt;</t>
  </si>
  <si>
    <t>YES</t>
  </si>
  <si>
    <t>NO</t>
  </si>
  <si>
    <t>Customer TOOL</t>
  </si>
  <si>
    <t>Recoverable Amt</t>
  </si>
  <si>
    <t>CheckList for EIA</t>
  </si>
  <si>
    <t>S.No</t>
  </si>
  <si>
    <t>Contents</t>
  </si>
  <si>
    <t>Status</t>
  </si>
  <si>
    <t>&gt;Deptt &amp; Plant</t>
  </si>
  <si>
    <t xml:space="preserve">&gt; EIA is Planned or Not </t>
  </si>
  <si>
    <t>Planned</t>
  </si>
  <si>
    <t>&gt; Additional Investment Form (If Investment is Unplanned)</t>
  </si>
  <si>
    <t>&gt;Equipment Name</t>
  </si>
  <si>
    <t xml:space="preserve">&gt; ROI  </t>
  </si>
  <si>
    <t>NA</t>
  </si>
  <si>
    <t xml:space="preserve">&gt; Availability of Quotation </t>
  </si>
  <si>
    <t>Attached</t>
  </si>
  <si>
    <t>&gt; Outside DN Group How much of total amount is going Out ?</t>
  </si>
  <si>
    <t>&gt; DNHA MMD can make or not ?</t>
  </si>
  <si>
    <t>&gt; MMD Cost Breakup(Labour &amp; Purchase Items) ?</t>
  </si>
  <si>
    <t xml:space="preserve">&gt; Tool /Die Machine Tonnage ? </t>
  </si>
  <si>
    <t>fill area</t>
  </si>
  <si>
    <r>
      <t xml:space="preserve">ADDITIONAL INVESTMENT ** APPLICATION FORM </t>
    </r>
    <r>
      <rPr>
        <b/>
        <sz val="10"/>
        <color indexed="48"/>
        <rFont val="ＭＳ Ｐゴシック"/>
      </rPr>
      <t>(Requesting department to fill in soft copy, take a print &amp; bring to BPD)</t>
    </r>
  </si>
  <si>
    <t>Application Date</t>
  </si>
  <si>
    <t>:</t>
    <phoneticPr fontId="4"/>
  </si>
  <si>
    <t>Department</t>
    <phoneticPr fontId="4"/>
  </si>
  <si>
    <t>Section</t>
  </si>
  <si>
    <t>**1)  Applicable if the item is not planned         2) The amount which was planned is not sufficient.</t>
  </si>
  <si>
    <t>Extn No.</t>
  </si>
  <si>
    <t>PART I &lt; To fill-in by Requesting Department &gt;,</t>
  </si>
  <si>
    <r>
      <t xml:space="preserve">( </t>
    </r>
    <r>
      <rPr>
        <b/>
        <u/>
        <sz val="11"/>
        <rFont val="Wingdings 2"/>
        <family val="1"/>
        <charset val="2"/>
      </rPr>
      <t>P</t>
    </r>
    <r>
      <rPr>
        <b/>
        <u/>
        <sz val="11"/>
        <rFont val="ＭＳ Ｐゴシック"/>
        <charset val="128"/>
      </rPr>
      <t xml:space="preserve"> ) which ever applicable</t>
    </r>
  </si>
  <si>
    <t>Unplanned Item</t>
  </si>
  <si>
    <t>Additional Budget Required</t>
  </si>
  <si>
    <t>Investment control id issued by BPD</t>
  </si>
  <si>
    <t>&lt;to be filled in case Additional Budget Required&gt;</t>
  </si>
  <si>
    <t xml:space="preserve">Annual Plan </t>
  </si>
  <si>
    <t>Revise Plan</t>
  </si>
  <si>
    <t>Additional Investment amount (INR)</t>
  </si>
  <si>
    <t>DETAILS OF ADDITIONAL BUDGET REQUIREMENT</t>
  </si>
  <si>
    <t>ITEM</t>
  </si>
  <si>
    <r>
      <t xml:space="preserve">FOB VALUE </t>
    </r>
    <r>
      <rPr>
        <sz val="8"/>
        <rFont val="ＭＳ Ｐゴシック"/>
      </rPr>
      <t>(Mention in Currency)</t>
    </r>
  </si>
  <si>
    <t>PURPOSE</t>
  </si>
  <si>
    <r>
      <t xml:space="preserve">LANDED VALUE </t>
    </r>
    <r>
      <rPr>
        <sz val="8"/>
        <rFont val="ＭＳ Ｐゴシック"/>
      </rPr>
      <t>(Mention in INR)</t>
    </r>
  </si>
  <si>
    <t>PROJECT</t>
  </si>
  <si>
    <r>
      <t>INSTALLATION VALUE</t>
    </r>
    <r>
      <rPr>
        <sz val="8"/>
        <rFont val="ＭＳ Ｐゴシック"/>
      </rPr>
      <t>(Mention in INR)</t>
    </r>
  </si>
  <si>
    <t>PRODUCT</t>
  </si>
  <si>
    <t>TOTAL VALUE ( INR )</t>
  </si>
  <si>
    <t>Next Model</t>
  </si>
  <si>
    <t>MODEL</t>
  </si>
  <si>
    <t>ORDER MONTH &amp; YEAR</t>
  </si>
  <si>
    <t>New Project</t>
  </si>
  <si>
    <t>PROCESS LINE</t>
  </si>
  <si>
    <t>RECEIVING MONTH &amp; YEAR</t>
  </si>
  <si>
    <t>New Product</t>
  </si>
  <si>
    <t>SUPPLIER NAME</t>
  </si>
  <si>
    <t>START USING MONTH &amp; YEAR</t>
  </si>
  <si>
    <t>Production Increased</t>
  </si>
  <si>
    <r>
      <t xml:space="preserve">Please break-down the TOTAL VALUE as per </t>
    </r>
    <r>
      <rPr>
        <b/>
        <u/>
        <sz val="11"/>
        <color indexed="48"/>
        <rFont val="ＭＳ Ｐゴシック"/>
      </rPr>
      <t>Ordering Schedule</t>
    </r>
  </si>
  <si>
    <t>Quality Improvement</t>
  </si>
  <si>
    <t>1st half</t>
    <phoneticPr fontId="4"/>
  </si>
  <si>
    <t>Apr</t>
    <phoneticPr fontId="4"/>
  </si>
  <si>
    <t>May</t>
  </si>
  <si>
    <t>Jun</t>
  </si>
  <si>
    <t>Jul</t>
  </si>
  <si>
    <t>Aug</t>
  </si>
  <si>
    <t>Sep</t>
  </si>
  <si>
    <t>1st half total</t>
    <phoneticPr fontId="4"/>
  </si>
  <si>
    <t xml:space="preserve">Safety </t>
  </si>
  <si>
    <t>Application</t>
    <phoneticPr fontId="4"/>
  </si>
  <si>
    <t>Renewal/Overhaul</t>
  </si>
  <si>
    <t>Experimental/Reserch</t>
  </si>
  <si>
    <t>2nd half</t>
    <phoneticPr fontId="4"/>
  </si>
  <si>
    <t>Oct</t>
    <phoneticPr fontId="4"/>
  </si>
  <si>
    <t>Nov</t>
    <phoneticPr fontId="4"/>
  </si>
  <si>
    <t>Dec</t>
  </si>
  <si>
    <t>Jan</t>
  </si>
  <si>
    <t>Feb</t>
  </si>
  <si>
    <t>Mar</t>
  </si>
  <si>
    <t>2nd half total</t>
    <phoneticPr fontId="4"/>
  </si>
  <si>
    <r>
      <t>DETAILED REASON &amp; BENEFIT/</t>
    </r>
    <r>
      <rPr>
        <b/>
        <u/>
        <sz val="11"/>
        <color indexed="48"/>
        <rFont val="ＭＳ Ｐゴシック"/>
      </rPr>
      <t>RECOVERY PLAN</t>
    </r>
    <r>
      <rPr>
        <b/>
        <sz val="11"/>
        <color indexed="48"/>
        <rFont val="ＭＳ Ｐゴシック"/>
      </rPr>
      <t xml:space="preserve"> (Please specifiy details reason &amp; benefit for DNHA with this Investment)</t>
    </r>
  </si>
  <si>
    <t>**</t>
  </si>
  <si>
    <t>PART II &lt; To fill-in by BPD &gt;</t>
  </si>
  <si>
    <r>
      <t xml:space="preserve">( </t>
    </r>
    <r>
      <rPr>
        <b/>
        <u/>
        <sz val="11"/>
        <rFont val="Wingdings 2"/>
        <family val="1"/>
        <charset val="2"/>
      </rPr>
      <t>P</t>
    </r>
    <r>
      <rPr>
        <b/>
        <u/>
        <sz val="11"/>
        <rFont val="ＭＳ Ｐゴシック"/>
        <charset val="128"/>
      </rPr>
      <t xml:space="preserve"> ) after checking</t>
    </r>
  </si>
  <si>
    <t>Total</t>
    <phoneticPr fontId="4"/>
  </si>
  <si>
    <t>CASH FLOW</t>
  </si>
  <si>
    <t>Original budget</t>
    <phoneticPr fontId="4"/>
  </si>
  <si>
    <t>Additional Budget</t>
  </si>
  <si>
    <t>PROFITABILITY</t>
  </si>
  <si>
    <t>Total Budget</t>
  </si>
  <si>
    <r>
      <t xml:space="preserve">PART II </t>
    </r>
    <r>
      <rPr>
        <b/>
        <u/>
        <sz val="14"/>
        <color indexed="10"/>
        <rFont val="ＭＳ Ｐゴシック"/>
      </rPr>
      <t>(If Applicable)</t>
    </r>
    <r>
      <rPr>
        <b/>
        <u/>
        <sz val="14"/>
        <rFont val="ＭＳ Ｐゴシック"/>
      </rPr>
      <t xml:space="preserve"> &lt; To fill-in by Transferor BU &gt;</t>
    </r>
  </si>
  <si>
    <t>Compulsary to fill-in if require budget transfer &lt;Transfer balance budget from other BU within same Division ONLY&gt;</t>
  </si>
  <si>
    <t>RM '000</t>
  </si>
  <si>
    <t>Verified by:</t>
  </si>
  <si>
    <t>Reason for not utilise original budget</t>
  </si>
  <si>
    <t>1.</t>
  </si>
  <si>
    <t>&lt;HOD&gt;</t>
  </si>
  <si>
    <t>2.</t>
  </si>
  <si>
    <t>Approved by:</t>
  </si>
  <si>
    <t>3.</t>
  </si>
  <si>
    <t>GRAND TOTAL</t>
  </si>
  <si>
    <t>&lt;DIRECTOR&gt;</t>
  </si>
  <si>
    <t>Comments and Recommendation &lt; Must  fill-in before submit to DIRECTOR for approval / rejection &gt;</t>
  </si>
  <si>
    <t>PART III &lt; Judgement by DIRECTOR &gt;</t>
  </si>
  <si>
    <r>
      <t xml:space="preserve">REPLY FORM &lt; Please ( </t>
    </r>
    <r>
      <rPr>
        <b/>
        <u/>
        <sz val="11"/>
        <rFont val="Wingdings 2"/>
        <family val="1"/>
        <charset val="2"/>
      </rPr>
      <t xml:space="preserve">P </t>
    </r>
    <r>
      <rPr>
        <b/>
        <u/>
        <sz val="11"/>
        <rFont val="ＭＳ Ｐゴシック"/>
      </rPr>
      <t>) which ever applicable &gt;</t>
    </r>
  </si>
  <si>
    <t>Approved</t>
    <phoneticPr fontId="4"/>
  </si>
  <si>
    <t>(</t>
    <phoneticPr fontId="4"/>
  </si>
  <si>
    <t>)</t>
    <phoneticPr fontId="4"/>
  </si>
  <si>
    <t>Partial Approved</t>
  </si>
  <si>
    <t>Comment:</t>
  </si>
  <si>
    <t>2.1</t>
  </si>
  <si>
    <t>Amount</t>
  </si>
  <si>
    <t>k</t>
  </si>
  <si>
    <t>(if any)</t>
  </si>
  <si>
    <t>Not Approved</t>
  </si>
  <si>
    <t>HOLD**</t>
  </si>
  <si>
    <t>Approval Route if amount is &lt; = INR 10,000/-</t>
  </si>
  <si>
    <t>REQUESTING DEPARTMENT</t>
  </si>
  <si>
    <t>HOD</t>
  </si>
  <si>
    <t>HOS</t>
  </si>
  <si>
    <t>COD</t>
  </si>
  <si>
    <t>←</t>
  </si>
  <si>
    <t>Requesting Department</t>
  </si>
  <si>
    <t>Approval Route if amount is &gt; = INR 10,000/-</t>
  </si>
  <si>
    <t>FINAL APPROVAL</t>
  </si>
  <si>
    <t>COD 
(CORP)</t>
  </si>
  <si>
    <r>
      <t xml:space="preserve">HOS 
</t>
    </r>
    <r>
      <rPr>
        <b/>
        <sz val="8"/>
        <rFont val="Sylfaen"/>
        <family val="1"/>
      </rPr>
      <t>(profit planning)</t>
    </r>
  </si>
  <si>
    <t>BPD (Copy to Req Deptt)</t>
  </si>
  <si>
    <t>COD (By Requesting Deprtment alongwith BPD)</t>
  </si>
  <si>
    <t>Investment Control ID (To be filled by BPD after approval is obtained)</t>
  </si>
  <si>
    <t>** c/m is must to make</t>
  </si>
  <si>
    <t>Approval Date:</t>
  </si>
  <si>
    <t xml:space="preserve">Guideline : </t>
  </si>
  <si>
    <t>1. New Projects budget can not be used to for unplanned approval [ reason : new project schedule / spec is undecided at the making of budget ]</t>
  </si>
  <si>
    <t>2. In case surrender from existing some ID, its mandatory to mention why those budget could be spared.</t>
  </si>
  <si>
    <t>3. Approval lead time is 2 weeks ( 12 working days ) from the date of application.</t>
  </si>
  <si>
    <t>4. Unplanned approval is must to explain from requesting HOS-&gt;BP HOS by phone / face to face communication.</t>
  </si>
  <si>
    <t>Location :</t>
  </si>
  <si>
    <t xml:space="preserve">Format No. FO/078/PE/07 </t>
  </si>
  <si>
    <t>Revised 2022/04</t>
  </si>
  <si>
    <t>Currency</t>
  </si>
  <si>
    <t>Shipping Term</t>
  </si>
  <si>
    <t>Quote Amount</t>
  </si>
  <si>
    <t>Landed Amount</t>
  </si>
  <si>
    <t>FOB</t>
  </si>
  <si>
    <t>DNHA-J</t>
  </si>
  <si>
    <t>Motor</t>
  </si>
  <si>
    <t>Prashant Malik</t>
  </si>
  <si>
    <r>
      <t>&lt;Volume / Line&gt;</t>
    </r>
    <r>
      <rPr>
        <sz val="9"/>
        <rFont val="Arial Narrow"/>
        <family val="2"/>
      </rPr>
      <t xml:space="preserve"> </t>
    </r>
  </si>
  <si>
    <t>Other</t>
  </si>
  <si>
    <t>PRD-PW (P2)</t>
  </si>
  <si>
    <t>PRD-PW</t>
  </si>
  <si>
    <t>Digitalization</t>
  </si>
  <si>
    <t>TL1</t>
  </si>
  <si>
    <t>TL2</t>
  </si>
  <si>
    <t>TL3</t>
  </si>
  <si>
    <t>TL4</t>
  </si>
  <si>
    <t>TL5</t>
  </si>
  <si>
    <t xml:space="preserve">Before </t>
  </si>
  <si>
    <t>After</t>
  </si>
  <si>
    <t>N/A</t>
  </si>
  <si>
    <t>Radius System private Limited</t>
  </si>
  <si>
    <t>BF23 PW</t>
  </si>
  <si>
    <t>IPad Air + Apple pencil ( 2no's)</t>
  </si>
  <si>
    <t>Rs 150000</t>
  </si>
  <si>
    <t>0.5 Years</t>
  </si>
  <si>
    <t>Apple iPad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</si>
</sst>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_ "/>
    <numFmt numFmtId="166" formatCode="0.00_ "/>
    <numFmt numFmtId="167" formatCode="0_ "/>
    <numFmt numFmtId="168" formatCode="#,##0.0"/>
    <numFmt numFmtId="169" formatCode="[$-409]d\-mmm\-yy;@"/>
    <numFmt numFmtId="170" formatCode="0.0"/>
    <numFmt numFmtId="171" formatCode="000"/>
  </numFmts>
  <fonts count="76">
    <font>
      <sz val="11"/>
      <name val="ＭＳ Ｐゴシック"/>
      <family val="3"/>
      <charset val="128"/>
    </font>
    <font>
      <sz val="11"/>
      <color theme="1"/>
      <name val="Calibri"/>
      <family val="2"/>
      <scheme val="minor"/>
    </font>
    <font>
      <sz val="11"/>
      <color theme="1"/>
      <name val="Calibri"/>
      <family val="2"/>
      <scheme val="minor"/>
    </font>
    <font>
      <sz val="11"/>
      <name val="ＭＳ Ｐゴシック"/>
      <family val="3"/>
      <charset val="128"/>
    </font>
    <font>
      <sz val="9"/>
      <name val="ＭＳ Ｐゴシック"/>
      <family val="3"/>
      <charset val="128"/>
    </font>
    <font>
      <sz val="6"/>
      <name val="ＭＳ Ｐゴシック"/>
      <family val="3"/>
      <charset val="128"/>
    </font>
    <font>
      <sz val="9"/>
      <name val="Arial"/>
      <family val="2"/>
    </font>
    <font>
      <b/>
      <sz val="11"/>
      <name val="Arial"/>
      <family val="2"/>
    </font>
    <font>
      <sz val="8"/>
      <name val="Arial"/>
      <family val="2"/>
    </font>
    <font>
      <sz val="10"/>
      <name val="Arial"/>
      <family val="2"/>
    </font>
    <font>
      <sz val="12"/>
      <name val="Arial"/>
      <family val="2"/>
    </font>
    <font>
      <sz val="11"/>
      <name val="Arial"/>
      <family val="2"/>
    </font>
    <font>
      <b/>
      <i/>
      <sz val="11"/>
      <name val="Arial"/>
      <family val="2"/>
    </font>
    <font>
      <b/>
      <i/>
      <sz val="9"/>
      <name val="Arial"/>
      <family val="2"/>
    </font>
    <font>
      <sz val="9"/>
      <name val="Arial Narrow"/>
      <family val="2"/>
    </font>
    <font>
      <b/>
      <i/>
      <sz val="10"/>
      <name val="Arial"/>
      <family val="2"/>
    </font>
    <font>
      <u/>
      <sz val="18"/>
      <name val="Arial"/>
      <family val="2"/>
    </font>
    <font>
      <sz val="10"/>
      <name val="Arial"/>
      <family val="2"/>
    </font>
    <font>
      <b/>
      <sz val="10"/>
      <name val="Arial"/>
      <family val="2"/>
    </font>
    <font>
      <u/>
      <sz val="14"/>
      <name val="Arial"/>
      <family val="2"/>
    </font>
    <font>
      <sz val="16"/>
      <name val="Arial"/>
      <family val="2"/>
    </font>
    <font>
      <sz val="20"/>
      <name val="Arial"/>
      <family val="2"/>
    </font>
    <font>
      <u/>
      <sz val="20"/>
      <name val="Arial"/>
      <family val="2"/>
    </font>
    <font>
      <b/>
      <sz val="12"/>
      <name val="Arial"/>
      <family val="2"/>
    </font>
    <font>
      <sz val="8"/>
      <name val="ＭＳ Ｐゴシック"/>
      <family val="3"/>
      <charset val="128"/>
    </font>
    <font>
      <i/>
      <sz val="10"/>
      <name val="Arial"/>
      <family val="2"/>
    </font>
    <font>
      <sz val="10"/>
      <name val="Arial Narrow"/>
      <family val="2"/>
    </font>
    <font>
      <sz val="9"/>
      <color indexed="81"/>
      <name val="Tahoma"/>
      <family val="2"/>
    </font>
    <font>
      <b/>
      <sz val="9"/>
      <color indexed="81"/>
      <name val="Tahoma"/>
      <family val="2"/>
    </font>
    <font>
      <b/>
      <sz val="9"/>
      <name val="Arial"/>
      <family val="2"/>
    </font>
    <font>
      <vertAlign val="superscript"/>
      <sz val="10"/>
      <name val="Arial"/>
      <family val="2"/>
    </font>
    <font>
      <sz val="6"/>
      <name val="Arial"/>
      <family val="2"/>
    </font>
    <font>
      <b/>
      <sz val="10"/>
      <color rgb="FF0070C0"/>
      <name val="Times New Roman"/>
      <family val="1"/>
    </font>
    <font>
      <b/>
      <i/>
      <sz val="8"/>
      <color theme="4" tint="-0.249977111117893"/>
      <name val="Arial"/>
      <family val="2"/>
    </font>
    <font>
      <b/>
      <i/>
      <sz val="6"/>
      <color theme="4" tint="-0.249977111117893"/>
      <name val="Arial"/>
      <family val="2"/>
    </font>
    <font>
      <b/>
      <i/>
      <sz val="10"/>
      <color theme="4" tint="-0.249977111117893"/>
      <name val="Arial"/>
      <family val="2"/>
    </font>
    <font>
      <b/>
      <sz val="9"/>
      <color rgb="FF0070C0"/>
      <name val="Arial"/>
      <family val="2"/>
    </font>
    <font>
      <sz val="7"/>
      <name val="Arial"/>
      <family val="2"/>
    </font>
    <font>
      <sz val="7"/>
      <color rgb="FFFF0000"/>
      <name val="Arial"/>
      <family val="2"/>
    </font>
    <font>
      <sz val="5"/>
      <color rgb="FFFF0000"/>
      <name val="Arial"/>
      <family val="2"/>
    </font>
    <font>
      <sz val="9"/>
      <color rgb="FFFF0000"/>
      <name val="Arial"/>
      <family val="2"/>
    </font>
    <font>
      <b/>
      <sz val="8"/>
      <color rgb="FFFF0000"/>
      <name val="Arial"/>
      <family val="2"/>
    </font>
    <font>
      <b/>
      <sz val="9"/>
      <color rgb="FFFF0000"/>
      <name val="Arial"/>
      <family val="2"/>
    </font>
    <font>
      <sz val="11"/>
      <color theme="1"/>
      <name val="Calibri"/>
      <family val="2"/>
      <scheme val="minor"/>
    </font>
    <font>
      <b/>
      <sz val="16"/>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1"/>
      <name val="ＭＳ Ｐゴシック"/>
      <charset val="128"/>
    </font>
    <font>
      <b/>
      <sz val="16"/>
      <name val="ＭＳ Ｐゴシック"/>
    </font>
    <font>
      <b/>
      <sz val="10"/>
      <color indexed="48"/>
      <name val="ＭＳ Ｐゴシック"/>
    </font>
    <font>
      <sz val="10"/>
      <name val="ＭＳ Ｐゴシック"/>
      <family val="3"/>
      <charset val="128"/>
    </font>
    <font>
      <sz val="11"/>
      <color indexed="48"/>
      <name val="ＭＳ Ｐゴシック"/>
      <charset val="128"/>
    </font>
    <font>
      <b/>
      <sz val="16"/>
      <color indexed="48"/>
      <name val="ＭＳ Ｐゴシック"/>
      <charset val="128"/>
    </font>
    <font>
      <b/>
      <u/>
      <sz val="14"/>
      <name val="ＭＳ Ｐゴシック"/>
    </font>
    <font>
      <b/>
      <u/>
      <sz val="11"/>
      <name val="ＭＳ Ｐゴシック"/>
      <charset val="128"/>
    </font>
    <font>
      <b/>
      <u/>
      <sz val="11"/>
      <name val="Wingdings 2"/>
      <family val="1"/>
      <charset val="2"/>
    </font>
    <font>
      <b/>
      <sz val="16"/>
      <name val="ＭＳ Ｐゴシック"/>
      <family val="3"/>
      <charset val="128"/>
    </font>
    <font>
      <b/>
      <u/>
      <sz val="11"/>
      <name val="ＭＳ Ｐゴシック"/>
    </font>
    <font>
      <sz val="11"/>
      <name val="ＭＳ Ｐゴシック"/>
    </font>
    <font>
      <sz val="8"/>
      <name val="ＭＳ Ｐゴシック"/>
    </font>
    <font>
      <b/>
      <sz val="11"/>
      <color indexed="48"/>
      <name val="ＭＳ Ｐゴシック"/>
    </font>
    <font>
      <b/>
      <u/>
      <sz val="11"/>
      <color indexed="48"/>
      <name val="ＭＳ Ｐゴシック"/>
    </font>
    <font>
      <b/>
      <u/>
      <sz val="14"/>
      <color indexed="10"/>
      <name val="ＭＳ Ｐゴシック"/>
    </font>
    <font>
      <b/>
      <sz val="11"/>
      <name val="ＭＳ Ｐゴシック"/>
    </font>
    <font>
      <b/>
      <i/>
      <sz val="11"/>
      <name val="ＭＳ Ｐゴシック"/>
    </font>
    <font>
      <sz val="10"/>
      <name val="ＭＳ Ｐゴシック"/>
    </font>
    <font>
      <u/>
      <sz val="11"/>
      <name val="ＭＳ Ｐゴシック"/>
    </font>
    <font>
      <b/>
      <sz val="10"/>
      <name val="ＭＳ Ｐゴシック"/>
    </font>
    <font>
      <i/>
      <sz val="11"/>
      <name val="ＭＳ Ｐゴシック"/>
    </font>
    <font>
      <b/>
      <sz val="16"/>
      <color indexed="48"/>
      <name val="ＭＳ Ｐゴシック"/>
    </font>
    <font>
      <b/>
      <sz val="11"/>
      <name val="Sylfaen"/>
      <family val="1"/>
    </font>
    <font>
      <sz val="11"/>
      <name val="Franklin Gothic Demi"/>
      <family val="2"/>
    </font>
    <font>
      <b/>
      <sz val="8"/>
      <name val="Sylfaen"/>
      <family val="1"/>
    </font>
    <font>
      <sz val="16"/>
      <name val="ＭＳ Ｐゴシック"/>
    </font>
    <font>
      <sz val="11"/>
      <name val="Wingdings 2"/>
      <family val="1"/>
      <charset val="2"/>
    </font>
  </fonts>
  <fills count="15">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29"/>
        <bgColor indexed="64"/>
      </patternFill>
    </fill>
    <fill>
      <patternFill patternType="solid">
        <fgColor indexed="44"/>
        <bgColor indexed="64"/>
      </patternFill>
    </fill>
    <fill>
      <patternFill patternType="solid">
        <fgColor rgb="FFFFFF99"/>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indexed="13"/>
        <bgColor indexed="64"/>
      </patternFill>
    </fill>
    <fill>
      <patternFill patternType="solid">
        <fgColor indexed="15"/>
        <bgColor indexed="64"/>
      </patternFill>
    </fill>
    <fill>
      <patternFill patternType="solid">
        <fgColor theme="1"/>
        <bgColor indexed="64"/>
      </patternFill>
    </fill>
  </fills>
  <borders count="59">
    <border>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style="hair">
        <color indexed="64"/>
      </bottom>
      <diagonal/>
    </border>
    <border>
      <left/>
      <right/>
      <top style="hair">
        <color indexed="64"/>
      </top>
      <bottom/>
      <diagonal/>
    </border>
    <border>
      <left/>
      <right style="hair">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hair">
        <color indexed="64"/>
      </top>
      <bottom style="hair">
        <color indexed="64"/>
      </bottom>
      <diagonal/>
    </border>
    <border>
      <left/>
      <right/>
      <top style="thin">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medium">
        <color indexed="64"/>
      </left>
      <right/>
      <top/>
      <bottom style="dashDot">
        <color indexed="64"/>
      </bottom>
      <diagonal/>
    </border>
    <border>
      <left/>
      <right/>
      <top/>
      <bottom style="dashDot">
        <color indexed="64"/>
      </bottom>
      <diagonal/>
    </border>
    <border>
      <left/>
      <right style="medium">
        <color indexed="64"/>
      </right>
      <top/>
      <bottom style="dashDot">
        <color indexed="64"/>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s>
  <cellStyleXfs count="8">
    <xf numFmtId="0" fontId="0" fillId="0" borderId="0"/>
    <xf numFmtId="43" fontId="3" fillId="0" borderId="0" applyFont="0" applyFill="0" applyBorder="0" applyAlignment="0" applyProtection="0"/>
    <xf numFmtId="43" fontId="17" fillId="0" borderId="0" applyFont="0" applyFill="0" applyBorder="0" applyAlignment="0" applyProtection="0"/>
    <xf numFmtId="0" fontId="17" fillId="0" borderId="0"/>
    <xf numFmtId="0" fontId="43" fillId="0" borderId="0"/>
    <xf numFmtId="164" fontId="43" fillId="0" borderId="0" applyFont="0" applyFill="0" applyBorder="0" applyAlignment="0" applyProtection="0"/>
    <xf numFmtId="0" fontId="48" fillId="0" borderId="0"/>
    <xf numFmtId="40" fontId="48" fillId="0" borderId="0" applyFont="0" applyFill="0" applyBorder="0" applyAlignment="0" applyProtection="0"/>
  </cellStyleXfs>
  <cellXfs count="570">
    <xf numFmtId="0" fontId="0" fillId="0" borderId="0" xfId="0"/>
    <xf numFmtId="0" fontId="4" fillId="2"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xf numFmtId="0" fontId="6" fillId="0" borderId="0" xfId="0" applyFont="1" applyAlignment="1">
      <alignment horizontal="right" vertical="center"/>
    </xf>
    <xf numFmtId="0" fontId="6" fillId="0" borderId="1" xfId="0" applyFont="1" applyBorder="1" applyAlignment="1">
      <alignment vertical="center"/>
    </xf>
    <xf numFmtId="0" fontId="6" fillId="0" borderId="2" xfId="0" applyFont="1" applyBorder="1" applyAlignment="1">
      <alignment vertical="center"/>
    </xf>
    <xf numFmtId="0" fontId="6" fillId="2" borderId="3" xfId="0" applyFont="1" applyFill="1" applyBorder="1" applyAlignment="1">
      <alignment vertical="center"/>
    </xf>
    <xf numFmtId="0" fontId="9" fillId="0" borderId="0" xfId="0" applyFont="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6" fillId="0" borderId="3" xfId="0" applyFont="1" applyBorder="1" applyAlignment="1">
      <alignment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6" xfId="0" applyFont="1" applyBorder="1" applyAlignment="1">
      <alignment vertical="center"/>
    </xf>
    <xf numFmtId="0" fontId="6" fillId="0" borderId="2" xfId="0" applyFont="1" applyBorder="1" applyAlignment="1">
      <alignment horizontal="centerContinuous" vertical="center"/>
    </xf>
    <xf numFmtId="0" fontId="6" fillId="0" borderId="0" xfId="0" applyFont="1" applyAlignment="1">
      <alignment horizontal="centerContinuous" vertical="center"/>
    </xf>
    <xf numFmtId="0" fontId="6" fillId="0" borderId="0" xfId="0" applyFont="1" applyAlignment="1">
      <alignment horizontal="center" vertical="center"/>
    </xf>
    <xf numFmtId="0" fontId="6" fillId="0" borderId="7" xfId="0" applyFont="1" applyBorder="1" applyAlignment="1">
      <alignment vertical="center"/>
    </xf>
    <xf numFmtId="0" fontId="6" fillId="0" borderId="8" xfId="0" applyFont="1" applyBorder="1" applyAlignment="1">
      <alignment vertical="center"/>
    </xf>
    <xf numFmtId="0" fontId="6" fillId="3" borderId="5" xfId="0" applyFont="1" applyFill="1" applyBorder="1" applyAlignment="1">
      <alignment vertical="center"/>
    </xf>
    <xf numFmtId="167" fontId="6" fillId="4" borderId="3" xfId="0" applyNumberFormat="1" applyFont="1" applyFill="1" applyBorder="1" applyAlignment="1">
      <alignment horizontal="right" vertical="center"/>
    </xf>
    <xf numFmtId="3" fontId="8" fillId="0" borderId="3" xfId="0" applyNumberFormat="1" applyFont="1" applyBorder="1"/>
    <xf numFmtId="0" fontId="6" fillId="2" borderId="2" xfId="0" applyFont="1" applyFill="1" applyBorder="1" applyAlignment="1">
      <alignment vertical="center"/>
    </xf>
    <xf numFmtId="0" fontId="6" fillId="0" borderId="4" xfId="0" applyFont="1" applyBorder="1" applyAlignment="1">
      <alignment vertical="top"/>
    </xf>
    <xf numFmtId="0" fontId="6" fillId="0" borderId="0" xfId="0" applyFont="1" applyAlignment="1">
      <alignment vertical="top"/>
    </xf>
    <xf numFmtId="0" fontId="8" fillId="4" borderId="4" xfId="0" applyFont="1" applyFill="1" applyBorder="1" applyAlignment="1">
      <alignment vertical="center"/>
    </xf>
    <xf numFmtId="0" fontId="6" fillId="4" borderId="0" xfId="0" applyFont="1" applyFill="1" applyAlignment="1">
      <alignment vertical="center"/>
    </xf>
    <xf numFmtId="0" fontId="6" fillId="4" borderId="7" xfId="0" applyFont="1" applyFill="1" applyBorder="1" applyAlignment="1">
      <alignment vertical="center"/>
    </xf>
    <xf numFmtId="0" fontId="6" fillId="4" borderId="4" xfId="0" applyFont="1" applyFill="1" applyBorder="1" applyAlignment="1">
      <alignment vertical="center"/>
    </xf>
    <xf numFmtId="0" fontId="6" fillId="4" borderId="9" xfId="0" applyFont="1" applyFill="1" applyBorder="1" applyAlignment="1">
      <alignment vertical="center"/>
    </xf>
    <xf numFmtId="0" fontId="6" fillId="4" borderId="10" xfId="0" applyFont="1" applyFill="1" applyBorder="1" applyAlignment="1">
      <alignment vertical="center"/>
    </xf>
    <xf numFmtId="0" fontId="6" fillId="4" borderId="11" xfId="0" applyFont="1" applyFill="1" applyBorder="1" applyAlignment="1">
      <alignment vertical="center"/>
    </xf>
    <xf numFmtId="0" fontId="6" fillId="0" borderId="12" xfId="0" applyFont="1" applyBorder="1" applyAlignment="1">
      <alignment vertical="center"/>
    </xf>
    <xf numFmtId="0" fontId="6" fillId="0" borderId="7" xfId="0" applyFont="1" applyBorder="1" applyAlignment="1">
      <alignment horizontal="center"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6" fillId="0" borderId="10" xfId="0" applyFont="1" applyBorder="1" applyAlignment="1">
      <alignment vertical="center"/>
    </xf>
    <xf numFmtId="0" fontId="6" fillId="2" borderId="0" xfId="0" applyFont="1" applyFill="1" applyAlignment="1">
      <alignment vertical="center"/>
    </xf>
    <xf numFmtId="0" fontId="6" fillId="3" borderId="0" xfId="0" applyFont="1" applyFill="1" applyAlignment="1">
      <alignment vertical="center"/>
    </xf>
    <xf numFmtId="0" fontId="6" fillId="0" borderId="16" xfId="0" applyFont="1" applyBorder="1" applyAlignment="1">
      <alignment horizontal="centerContinuous" vertical="center"/>
    </xf>
    <xf numFmtId="0" fontId="11" fillId="0" borderId="0" xfId="0" applyFont="1" applyAlignment="1">
      <alignment horizontal="center" vertical="center"/>
    </xf>
    <xf numFmtId="0" fontId="6" fillId="0" borderId="13" xfId="0" applyFont="1" applyBorder="1" applyAlignment="1">
      <alignment horizontal="centerContinuous" vertical="center"/>
    </xf>
    <xf numFmtId="0" fontId="6" fillId="0" borderId="14" xfId="0" applyFont="1" applyBorder="1" applyAlignment="1">
      <alignment horizontal="centerContinuous" vertical="center"/>
    </xf>
    <xf numFmtId="0" fontId="6" fillId="0" borderId="17" xfId="0" applyFont="1" applyBorder="1" applyAlignment="1">
      <alignment horizontal="centerContinuous" vertical="center"/>
    </xf>
    <xf numFmtId="0" fontId="8" fillId="0" borderId="17" xfId="0" applyFont="1" applyBorder="1" applyAlignment="1">
      <alignment horizontal="center" vertical="center"/>
    </xf>
    <xf numFmtId="0" fontId="12" fillId="0" borderId="0" xfId="0" applyFont="1" applyAlignment="1">
      <alignment horizontal="centerContinuous" vertical="center"/>
    </xf>
    <xf numFmtId="0" fontId="13" fillId="0" borderId="0" xfId="0" applyFont="1" applyAlignment="1">
      <alignment horizontal="centerContinuous" vertical="center"/>
    </xf>
    <xf numFmtId="0" fontId="6" fillId="0" borderId="3" xfId="0" quotePrefix="1" applyFont="1" applyBorder="1" applyAlignment="1">
      <alignment horizontal="right" vertical="center"/>
    </xf>
    <xf numFmtId="0" fontId="6" fillId="0" borderId="0" xfId="0" applyFont="1" applyAlignment="1" applyProtection="1">
      <alignment vertical="center"/>
      <protection locked="0"/>
    </xf>
    <xf numFmtId="0" fontId="6" fillId="0" borderId="16" xfId="0" applyFont="1" applyBorder="1" applyAlignment="1">
      <alignment horizontal="center" vertical="center"/>
    </xf>
    <xf numFmtId="0" fontId="8" fillId="0" borderId="0" xfId="0" applyFont="1" applyAlignment="1">
      <alignment vertical="center"/>
    </xf>
    <xf numFmtId="0" fontId="14" fillId="0" borderId="5" xfId="0" applyFont="1" applyBorder="1" applyAlignment="1">
      <alignment vertical="center"/>
    </xf>
    <xf numFmtId="0" fontId="10" fillId="0" borderId="2" xfId="0" applyFont="1" applyBorder="1" applyAlignment="1">
      <alignment vertical="top" wrapText="1"/>
    </xf>
    <xf numFmtId="0" fontId="10" fillId="0" borderId="3" xfId="0" applyFont="1" applyBorder="1" applyAlignment="1">
      <alignment vertical="top" wrapText="1"/>
    </xf>
    <xf numFmtId="0" fontId="11" fillId="0" borderId="0" xfId="0" applyFont="1"/>
    <xf numFmtId="0" fontId="15" fillId="5" borderId="18" xfId="0" applyFont="1" applyFill="1" applyBorder="1" applyAlignment="1">
      <alignment horizontal="centerContinuous" vertical="center"/>
    </xf>
    <xf numFmtId="0" fontId="15" fillId="5" borderId="19" xfId="0" applyFont="1" applyFill="1" applyBorder="1" applyAlignment="1">
      <alignment horizontal="centerContinuous" vertical="center"/>
    </xf>
    <xf numFmtId="0" fontId="6" fillId="0" borderId="20"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16" fillId="0" borderId="0" xfId="0" applyFont="1" applyAlignment="1">
      <alignment horizontal="center" vertical="center"/>
    </xf>
    <xf numFmtId="0" fontId="14" fillId="0" borderId="4" xfId="0" applyFont="1" applyBorder="1" applyAlignment="1">
      <alignment vertical="center"/>
    </xf>
    <xf numFmtId="0" fontId="6" fillId="0" borderId="3" xfId="0" applyFont="1" applyBorder="1" applyAlignment="1">
      <alignment horizontal="right" vertical="center"/>
    </xf>
    <xf numFmtId="0" fontId="6" fillId="0" borderId="7" xfId="0" applyFont="1" applyBorder="1" applyAlignment="1">
      <alignment vertical="top"/>
    </xf>
    <xf numFmtId="0" fontId="6" fillId="0" borderId="3" xfId="0" applyFont="1" applyBorder="1" applyAlignment="1">
      <alignment vertical="top"/>
    </xf>
    <xf numFmtId="0" fontId="6" fillId="0" borderId="8" xfId="0" applyFont="1" applyBorder="1" applyAlignment="1">
      <alignment vertical="top"/>
    </xf>
    <xf numFmtId="0" fontId="6" fillId="0" borderId="14" xfId="0" applyFont="1" applyBorder="1" applyAlignment="1">
      <alignment horizontal="center" vertical="center"/>
    </xf>
    <xf numFmtId="0" fontId="6" fillId="0" borderId="4" xfId="0" quotePrefix="1" applyFont="1" applyBorder="1" applyAlignment="1">
      <alignment vertical="center"/>
    </xf>
    <xf numFmtId="0" fontId="6" fillId="0" borderId="5" xfId="0" quotePrefix="1" applyFont="1" applyBorder="1" applyAlignment="1">
      <alignment vertical="center"/>
    </xf>
    <xf numFmtId="0" fontId="14" fillId="0" borderId="0" xfId="0" applyFont="1" applyAlignment="1">
      <alignment vertical="center" textRotation="90"/>
    </xf>
    <xf numFmtId="0" fontId="14" fillId="0" borderId="3" xfId="0" applyFont="1" applyBorder="1" applyAlignment="1">
      <alignment vertical="center" textRotation="90"/>
    </xf>
    <xf numFmtId="0" fontId="9" fillId="0" borderId="0" xfId="0" applyFont="1" applyAlignment="1">
      <alignment horizontal="right" vertical="center"/>
    </xf>
    <xf numFmtId="0" fontId="6" fillId="0" borderId="0" xfId="0" applyFont="1" applyAlignment="1">
      <alignment horizontal="left" vertical="center"/>
    </xf>
    <xf numFmtId="0" fontId="8" fillId="0" borderId="0" xfId="0" applyFont="1" applyAlignment="1">
      <alignment horizontal="center" vertical="center"/>
    </xf>
    <xf numFmtId="0" fontId="8" fillId="0" borderId="0" xfId="0" applyFont="1" applyAlignment="1">
      <alignment horizontal="left" vertical="center"/>
    </xf>
    <xf numFmtId="3" fontId="6" fillId="0" borderId="0" xfId="0" applyNumberFormat="1" applyFont="1" applyAlignment="1">
      <alignment horizontal="right" vertical="center"/>
    </xf>
    <xf numFmtId="0" fontId="14" fillId="0" borderId="13" xfId="0" applyFont="1" applyBorder="1" applyAlignment="1">
      <alignment horizontal="centerContinuous" vertical="center"/>
    </xf>
    <xf numFmtId="0" fontId="14" fillId="0" borderId="14" xfId="0" applyFont="1" applyBorder="1" applyAlignment="1">
      <alignment horizontal="centerContinuous" vertical="center"/>
    </xf>
    <xf numFmtId="0" fontId="14" fillId="0" borderId="17" xfId="0" applyFont="1" applyBorder="1" applyAlignment="1">
      <alignment horizontal="centerContinuous" vertical="center"/>
    </xf>
    <xf numFmtId="0" fontId="14" fillId="0" borderId="0" xfId="0" applyFont="1" applyAlignment="1">
      <alignment vertical="center"/>
    </xf>
    <xf numFmtId="0" fontId="14" fillId="0" borderId="0" xfId="0" applyFont="1" applyAlignment="1">
      <alignment horizontal="centerContinuous" vertical="center"/>
    </xf>
    <xf numFmtId="0" fontId="6" fillId="4" borderId="4" xfId="0" applyFont="1" applyFill="1" applyBorder="1" applyAlignment="1">
      <alignment vertical="top"/>
    </xf>
    <xf numFmtId="0" fontId="6" fillId="4" borderId="0" xfId="0" applyFont="1" applyFill="1" applyAlignment="1">
      <alignment vertical="top"/>
    </xf>
    <xf numFmtId="0" fontId="14" fillId="0" borderId="8" xfId="0" applyFont="1" applyBorder="1" applyAlignment="1">
      <alignment horizontal="right" vertical="center"/>
    </xf>
    <xf numFmtId="0" fontId="9" fillId="0" borderId="0" xfId="3" applyFont="1"/>
    <xf numFmtId="0" fontId="9" fillId="0" borderId="0" xfId="3" applyFont="1" applyAlignment="1">
      <alignment horizontal="left"/>
    </xf>
    <xf numFmtId="0" fontId="19" fillId="0" borderId="0" xfId="3" applyFont="1"/>
    <xf numFmtId="3" fontId="11" fillId="0" borderId="23" xfId="2" applyNumberFormat="1" applyFont="1" applyBorder="1"/>
    <xf numFmtId="3" fontId="9" fillId="0" borderId="0" xfId="3" applyNumberFormat="1" applyFont="1"/>
    <xf numFmtId="0" fontId="9" fillId="0" borderId="2" xfId="3" applyFont="1" applyBorder="1"/>
    <xf numFmtId="0" fontId="11" fillId="0" borderId="0" xfId="3" applyFont="1"/>
    <xf numFmtId="0" fontId="22" fillId="0" borderId="0" xfId="3" applyFont="1"/>
    <xf numFmtId="0" fontId="9" fillId="6" borderId="0" xfId="3" applyFont="1" applyFill="1"/>
    <xf numFmtId="0" fontId="9" fillId="6" borderId="0" xfId="3" applyFont="1" applyFill="1" applyAlignment="1">
      <alignment horizontal="left"/>
    </xf>
    <xf numFmtId="0" fontId="18" fillId="0" borderId="0" xfId="3" applyFont="1"/>
    <xf numFmtId="0" fontId="23" fillId="0" borderId="2" xfId="3" applyFont="1" applyBorder="1" applyAlignment="1">
      <alignment horizontal="right"/>
    </xf>
    <xf numFmtId="3" fontId="23" fillId="0" borderId="24" xfId="2" applyNumberFormat="1" applyFont="1" applyBorder="1"/>
    <xf numFmtId="3" fontId="23" fillId="0" borderId="25" xfId="2" applyNumberFormat="1" applyFont="1" applyBorder="1"/>
    <xf numFmtId="3" fontId="23" fillId="0" borderId="26" xfId="2" applyNumberFormat="1" applyFont="1" applyBorder="1"/>
    <xf numFmtId="0" fontId="11" fillId="0" borderId="3" xfId="0" applyFont="1" applyBorder="1" applyAlignment="1">
      <alignment horizontal="center" vertical="center"/>
    </xf>
    <xf numFmtId="0" fontId="22" fillId="0" borderId="0" xfId="3" applyFont="1" applyAlignment="1">
      <alignment wrapText="1"/>
    </xf>
    <xf numFmtId="0" fontId="21" fillId="0" borderId="0" xfId="3" applyFont="1" applyAlignment="1">
      <alignment horizontal="left" wrapText="1"/>
    </xf>
    <xf numFmtId="0" fontId="20" fillId="0" borderId="0" xfId="3" applyFont="1"/>
    <xf numFmtId="0" fontId="9" fillId="4" borderId="14" xfId="0" applyFont="1" applyFill="1" applyBorder="1" applyAlignment="1">
      <alignment vertical="center"/>
    </xf>
    <xf numFmtId="0" fontId="9" fillId="4" borderId="27" xfId="0" applyFont="1" applyFill="1" applyBorder="1" applyAlignment="1">
      <alignment vertical="center"/>
    </xf>
    <xf numFmtId="0" fontId="9" fillId="0" borderId="4" xfId="0" applyFont="1" applyBorder="1" applyAlignment="1">
      <alignment vertical="center"/>
    </xf>
    <xf numFmtId="0" fontId="6" fillId="0" borderId="2" xfId="0" applyFont="1" applyBorder="1" applyAlignment="1">
      <alignment vertical="top"/>
    </xf>
    <xf numFmtId="0" fontId="9" fillId="0" borderId="29" xfId="0" applyFont="1" applyBorder="1" applyAlignment="1">
      <alignment vertical="center"/>
    </xf>
    <xf numFmtId="0" fontId="9" fillId="0" borderId="14" xfId="0" applyFont="1" applyBorder="1" applyAlignment="1">
      <alignment vertical="center"/>
    </xf>
    <xf numFmtId="0" fontId="6" fillId="0" borderId="7" xfId="0" applyFont="1" applyBorder="1" applyAlignment="1">
      <alignment horizontal="centerContinuous" vertical="center"/>
    </xf>
    <xf numFmtId="0" fontId="6" fillId="0" borderId="3" xfId="0" quotePrefix="1" applyFont="1" applyBorder="1" applyAlignment="1">
      <alignment vertical="center"/>
    </xf>
    <xf numFmtId="0" fontId="6" fillId="4" borderId="2" xfId="0" applyFont="1" applyFill="1" applyBorder="1" applyAlignment="1">
      <alignment horizontal="centerContinuous" vertical="center"/>
    </xf>
    <xf numFmtId="0" fontId="6" fillId="4" borderId="6" xfId="0" applyFont="1" applyFill="1" applyBorder="1" applyAlignment="1">
      <alignment horizontal="center" vertical="center"/>
    </xf>
    <xf numFmtId="0" fontId="11" fillId="7" borderId="23" xfId="3" applyFont="1" applyFill="1" applyBorder="1"/>
    <xf numFmtId="3" fontId="11" fillId="7" borderId="23" xfId="2" applyNumberFormat="1" applyFont="1" applyFill="1" applyBorder="1"/>
    <xf numFmtId="3" fontId="11" fillId="7" borderId="20" xfId="2" applyNumberFormat="1" applyFont="1" applyFill="1" applyBorder="1"/>
    <xf numFmtId="0" fontId="11" fillId="7" borderId="18" xfId="3" applyFont="1" applyFill="1" applyBorder="1"/>
    <xf numFmtId="0" fontId="9" fillId="7" borderId="21" xfId="3" applyFont="1" applyFill="1" applyBorder="1"/>
    <xf numFmtId="0" fontId="9" fillId="7" borderId="22" xfId="3" applyFont="1" applyFill="1" applyBorder="1"/>
    <xf numFmtId="0" fontId="9" fillId="4" borderId="23" xfId="3" applyFont="1" applyFill="1" applyBorder="1" applyAlignment="1">
      <alignment horizontal="center" vertical="center" wrapText="1"/>
    </xf>
    <xf numFmtId="0" fontId="11" fillId="4" borderId="23" xfId="3" applyFont="1" applyFill="1" applyBorder="1" applyAlignment="1">
      <alignment horizontal="center" vertical="center" wrapText="1"/>
    </xf>
    <xf numFmtId="0" fontId="9" fillId="4" borderId="23" xfId="3" applyFont="1" applyFill="1" applyBorder="1" applyAlignment="1">
      <alignment horizontal="center" vertical="center"/>
    </xf>
    <xf numFmtId="0" fontId="15" fillId="0" borderId="0" xfId="0" applyFont="1" applyAlignment="1">
      <alignment horizontal="centerContinuous" vertical="center"/>
    </xf>
    <xf numFmtId="0" fontId="6" fillId="0" borderId="0" xfId="0" applyFont="1"/>
    <xf numFmtId="43" fontId="6" fillId="0" borderId="0" xfId="1" applyFont="1" applyFill="1" applyBorder="1" applyAlignment="1">
      <alignment vertical="center"/>
    </xf>
    <xf numFmtId="0" fontId="11" fillId="0" borderId="21" xfId="0" applyFont="1" applyBorder="1"/>
    <xf numFmtId="0" fontId="11" fillId="0" borderId="4" xfId="0" applyFont="1" applyBorder="1"/>
    <xf numFmtId="0" fontId="6" fillId="0" borderId="1"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15" fillId="5" borderId="23" xfId="0" applyFont="1" applyFill="1" applyBorder="1" applyAlignment="1">
      <alignment horizontal="centerContinuous" vertical="center"/>
    </xf>
    <xf numFmtId="3" fontId="25" fillId="0" borderId="0" xfId="3" applyNumberFormat="1" applyFont="1"/>
    <xf numFmtId="0" fontId="26" fillId="0" borderId="1" xfId="0" applyFont="1" applyBorder="1" applyAlignment="1">
      <alignment vertical="center"/>
    </xf>
    <xf numFmtId="3" fontId="9" fillId="0" borderId="23" xfId="3" applyNumberFormat="1" applyFont="1" applyBorder="1"/>
    <xf numFmtId="0" fontId="9" fillId="8" borderId="23" xfId="3" applyFont="1" applyFill="1" applyBorder="1" applyAlignment="1">
      <alignment horizontal="center" vertical="center"/>
    </xf>
    <xf numFmtId="0" fontId="9" fillId="9" borderId="0" xfId="3" applyFont="1" applyFill="1"/>
    <xf numFmtId="4" fontId="6" fillId="0" borderId="0" xfId="0" applyNumberFormat="1" applyFont="1" applyAlignment="1">
      <alignment vertical="center"/>
    </xf>
    <xf numFmtId="4" fontId="6" fillId="0" borderId="0" xfId="0" applyNumberFormat="1" applyFont="1" applyAlignment="1">
      <alignment horizontal="right" vertical="center"/>
    </xf>
    <xf numFmtId="0" fontId="6" fillId="10" borderId="0" xfId="0" applyFont="1" applyFill="1" applyAlignment="1">
      <alignment vertical="center"/>
    </xf>
    <xf numFmtId="4" fontId="6" fillId="11" borderId="0" xfId="0" applyNumberFormat="1" applyFont="1" applyFill="1" applyAlignment="1">
      <alignment vertical="center"/>
    </xf>
    <xf numFmtId="0" fontId="12" fillId="0" borderId="0" xfId="0" applyFont="1" applyAlignment="1">
      <alignment horizontal="left" vertical="center"/>
    </xf>
    <xf numFmtId="0" fontId="33" fillId="0" borderId="0" xfId="0" applyFont="1" applyAlignment="1">
      <alignment vertical="center" wrapText="1"/>
    </xf>
    <xf numFmtId="0" fontId="33" fillId="0" borderId="0" xfId="0" applyFont="1" applyAlignment="1">
      <alignment vertical="center"/>
    </xf>
    <xf numFmtId="0" fontId="6" fillId="0" borderId="1" xfId="0" applyFont="1" applyBorder="1" applyAlignment="1">
      <alignment vertical="top"/>
    </xf>
    <xf numFmtId="0" fontId="36" fillId="0" borderId="0" xfId="0" applyFont="1" applyAlignment="1">
      <alignment vertical="center"/>
    </xf>
    <xf numFmtId="0" fontId="36" fillId="0" borderId="1" xfId="0" applyFont="1" applyBorder="1" applyAlignment="1">
      <alignment vertical="center"/>
    </xf>
    <xf numFmtId="0" fontId="36" fillId="0" borderId="2" xfId="0" applyFont="1" applyBorder="1" applyAlignment="1">
      <alignment vertical="center"/>
    </xf>
    <xf numFmtId="0" fontId="36" fillId="0" borderId="6" xfId="0" applyFont="1" applyBorder="1" applyAlignment="1">
      <alignment vertical="center"/>
    </xf>
    <xf numFmtId="0" fontId="6" fillId="0" borderId="6" xfId="0" applyFont="1" applyBorder="1" applyAlignment="1">
      <alignment horizontal="center" vertical="center"/>
    </xf>
    <xf numFmtId="0" fontId="6" fillId="0" borderId="18" xfId="0" applyFont="1" applyBorder="1" applyAlignment="1">
      <alignment vertical="center"/>
    </xf>
    <xf numFmtId="0" fontId="6" fillId="0" borderId="28" xfId="0" applyFont="1" applyBorder="1" applyAlignment="1">
      <alignment vertical="center"/>
    </xf>
    <xf numFmtId="0" fontId="6" fillId="0" borderId="19" xfId="0" applyFont="1" applyBorder="1" applyAlignment="1">
      <alignment vertical="center"/>
    </xf>
    <xf numFmtId="0" fontId="38" fillId="0" borderId="0" xfId="0" applyFont="1" applyAlignment="1">
      <alignment vertical="center"/>
    </xf>
    <xf numFmtId="0" fontId="6" fillId="0" borderId="23" xfId="0" applyFont="1" applyBorder="1" applyAlignment="1">
      <alignment vertical="center"/>
    </xf>
    <xf numFmtId="0" fontId="6" fillId="4" borderId="2" xfId="0" applyFont="1" applyFill="1" applyBorder="1" applyAlignment="1">
      <alignment vertical="center"/>
    </xf>
    <xf numFmtId="0" fontId="6" fillId="4" borderId="3" xfId="0" applyFont="1" applyFill="1" applyBorder="1" applyAlignment="1">
      <alignment vertical="center"/>
    </xf>
    <xf numFmtId="167" fontId="6" fillId="4" borderId="0" xfId="0" applyNumberFormat="1" applyFont="1" applyFill="1" applyAlignment="1">
      <alignment horizontal="right" vertical="center"/>
    </xf>
    <xf numFmtId="0" fontId="40" fillId="0" borderId="2" xfId="0" applyFont="1" applyBorder="1" applyAlignment="1">
      <alignment vertical="center"/>
    </xf>
    <xf numFmtId="0" fontId="43" fillId="0" borderId="0" xfId="4"/>
    <xf numFmtId="0" fontId="45" fillId="0" borderId="23" xfId="4" applyFont="1" applyBorder="1" applyAlignment="1">
      <alignment horizontal="center" vertical="center"/>
    </xf>
    <xf numFmtId="0" fontId="46" fillId="0" borderId="23" xfId="4" applyFont="1" applyBorder="1" applyAlignment="1">
      <alignment horizontal="center" vertical="center"/>
    </xf>
    <xf numFmtId="0" fontId="43" fillId="0" borderId="23" xfId="4" applyBorder="1" applyAlignment="1">
      <alignment horizontal="center" vertical="center"/>
    </xf>
    <xf numFmtId="0" fontId="47" fillId="0" borderId="23" xfId="4" applyFont="1" applyBorder="1" applyAlignment="1">
      <alignment horizontal="left" vertical="center"/>
    </xf>
    <xf numFmtId="0" fontId="43" fillId="0" borderId="23" xfId="4" applyBorder="1" applyAlignment="1">
      <alignment vertical="center" wrapText="1"/>
    </xf>
    <xf numFmtId="0" fontId="43" fillId="0" borderId="18" xfId="4" applyBorder="1" applyAlignment="1">
      <alignment vertical="center"/>
    </xf>
    <xf numFmtId="1" fontId="0" fillId="0" borderId="23" xfId="5" applyNumberFormat="1" applyFont="1" applyBorder="1" applyAlignment="1">
      <alignment horizontal="center" vertical="center"/>
    </xf>
    <xf numFmtId="0" fontId="43" fillId="0" borderId="0" xfId="4" applyAlignment="1">
      <alignment horizontal="center" vertical="center"/>
    </xf>
    <xf numFmtId="0" fontId="48" fillId="3" borderId="0" xfId="6" applyFill="1" applyAlignment="1">
      <alignment vertical="center"/>
    </xf>
    <xf numFmtId="0" fontId="48" fillId="12" borderId="0" xfId="6" applyFill="1" applyAlignment="1">
      <alignment vertical="center"/>
    </xf>
    <xf numFmtId="0" fontId="48" fillId="3" borderId="32" xfId="6" applyFill="1" applyBorder="1" applyAlignment="1">
      <alignment vertical="center"/>
    </xf>
    <xf numFmtId="0" fontId="51" fillId="3" borderId="32" xfId="6" applyFont="1" applyFill="1" applyBorder="1" applyAlignment="1">
      <alignment vertical="center"/>
    </xf>
    <xf numFmtId="0" fontId="48" fillId="3" borderId="33" xfId="6" applyFill="1" applyBorder="1" applyAlignment="1">
      <alignment vertical="center"/>
    </xf>
    <xf numFmtId="0" fontId="51" fillId="3" borderId="0" xfId="6" applyFont="1" applyFill="1" applyAlignment="1">
      <alignment vertical="center"/>
    </xf>
    <xf numFmtId="0" fontId="48" fillId="3" borderId="36" xfId="6" applyFill="1" applyBorder="1" applyAlignment="1">
      <alignment vertical="center"/>
    </xf>
    <xf numFmtId="0" fontId="52" fillId="3" borderId="35" xfId="6" applyFont="1" applyFill="1" applyBorder="1" applyAlignment="1">
      <alignment vertical="center"/>
    </xf>
    <xf numFmtId="0" fontId="52" fillId="3" borderId="0" xfId="6" applyFont="1" applyFill="1" applyAlignment="1">
      <alignment vertical="center"/>
    </xf>
    <xf numFmtId="0" fontId="53" fillId="3" borderId="0" xfId="6" applyFont="1" applyFill="1" applyAlignment="1">
      <alignment horizontal="left" vertical="center"/>
    </xf>
    <xf numFmtId="0" fontId="54" fillId="13" borderId="35" xfId="6" applyFont="1" applyFill="1" applyBorder="1" applyAlignment="1">
      <alignment vertical="center"/>
    </xf>
    <xf numFmtId="0" fontId="48" fillId="13" borderId="0" xfId="6" applyFill="1" applyAlignment="1">
      <alignment vertical="center"/>
    </xf>
    <xf numFmtId="0" fontId="55" fillId="13" borderId="0" xfId="6" applyFont="1" applyFill="1" applyAlignment="1">
      <alignment vertical="center"/>
    </xf>
    <xf numFmtId="0" fontId="51" fillId="13" borderId="0" xfId="6" applyFont="1" applyFill="1" applyAlignment="1">
      <alignment vertical="center"/>
    </xf>
    <xf numFmtId="0" fontId="48" fillId="13" borderId="36" xfId="6" applyFill="1" applyBorder="1" applyAlignment="1">
      <alignment vertical="center"/>
    </xf>
    <xf numFmtId="0" fontId="48" fillId="3" borderId="35" xfId="6" applyFill="1" applyBorder="1" applyAlignment="1">
      <alignment vertical="center"/>
    </xf>
    <xf numFmtId="0" fontId="48" fillId="12" borderId="23" xfId="6" applyFill="1" applyBorder="1" applyAlignment="1">
      <alignment horizontal="center" vertical="center"/>
    </xf>
    <xf numFmtId="0" fontId="57" fillId="3" borderId="0" xfId="6" applyFont="1" applyFill="1" applyAlignment="1">
      <alignment horizontal="left" vertical="center"/>
    </xf>
    <xf numFmtId="0" fontId="48" fillId="12" borderId="18" xfId="6" applyFill="1" applyBorder="1" applyAlignment="1">
      <alignment vertical="center"/>
    </xf>
    <xf numFmtId="0" fontId="48" fillId="12" borderId="28" xfId="6" applyFill="1" applyBorder="1" applyAlignment="1">
      <alignment vertical="center"/>
    </xf>
    <xf numFmtId="0" fontId="51" fillId="12" borderId="19" xfId="6" applyFont="1" applyFill="1" applyBorder="1" applyAlignment="1">
      <alignment vertical="center"/>
    </xf>
    <xf numFmtId="0" fontId="48" fillId="0" borderId="0" xfId="6" applyAlignment="1">
      <alignment vertical="center"/>
    </xf>
    <xf numFmtId="0" fontId="48" fillId="3" borderId="28" xfId="6" applyFill="1" applyBorder="1" applyAlignment="1">
      <alignment vertical="center"/>
    </xf>
    <xf numFmtId="0" fontId="48" fillId="3" borderId="4" xfId="6" applyFill="1" applyBorder="1" applyAlignment="1">
      <alignment vertical="center"/>
    </xf>
    <xf numFmtId="0" fontId="54" fillId="3" borderId="35" xfId="6" applyFont="1" applyFill="1" applyBorder="1" applyAlignment="1">
      <alignment vertical="center"/>
    </xf>
    <xf numFmtId="0" fontId="51" fillId="3" borderId="0" xfId="6" applyFont="1" applyFill="1" applyAlignment="1">
      <alignment horizontal="left" vertical="center"/>
    </xf>
    <xf numFmtId="0" fontId="48" fillId="3" borderId="0" xfId="6" applyFill="1" applyAlignment="1">
      <alignment horizontal="center" vertical="center"/>
    </xf>
    <xf numFmtId="0" fontId="58" fillId="3" borderId="0" xfId="6" applyFont="1" applyFill="1" applyAlignment="1">
      <alignment vertical="center"/>
    </xf>
    <xf numFmtId="0" fontId="48" fillId="3" borderId="18" xfId="6" applyFill="1" applyBorder="1" applyAlignment="1">
      <alignment vertical="center"/>
    </xf>
    <xf numFmtId="0" fontId="48" fillId="3" borderId="19" xfId="6" applyFill="1" applyBorder="1" applyAlignment="1">
      <alignment vertical="center"/>
    </xf>
    <xf numFmtId="0" fontId="59" fillId="3" borderId="18" xfId="6" applyFont="1" applyFill="1" applyBorder="1" applyAlignment="1">
      <alignment vertical="center"/>
    </xf>
    <xf numFmtId="0" fontId="59" fillId="3" borderId="2" xfId="6" applyFont="1" applyFill="1" applyBorder="1" applyAlignment="1">
      <alignment vertical="center"/>
    </xf>
    <xf numFmtId="0" fontId="48" fillId="3" borderId="18" xfId="6" applyFill="1" applyBorder="1" applyAlignment="1">
      <alignment horizontal="left" vertical="center"/>
    </xf>
    <xf numFmtId="0" fontId="59" fillId="3" borderId="28" xfId="6" applyFont="1" applyFill="1" applyBorder="1" applyAlignment="1">
      <alignment vertical="center"/>
    </xf>
    <xf numFmtId="0" fontId="48" fillId="3" borderId="28" xfId="6" applyFill="1" applyBorder="1" applyAlignment="1">
      <alignment horizontal="left" vertical="center"/>
    </xf>
    <xf numFmtId="0" fontId="59" fillId="3" borderId="19" xfId="6" applyFont="1" applyFill="1" applyBorder="1" applyAlignment="1">
      <alignment vertical="center"/>
    </xf>
    <xf numFmtId="0" fontId="59" fillId="3" borderId="4" xfId="6" applyFont="1" applyFill="1" applyBorder="1" applyAlignment="1">
      <alignment vertical="center"/>
    </xf>
    <xf numFmtId="0" fontId="61" fillId="3" borderId="28" xfId="6" applyFont="1" applyFill="1" applyBorder="1" applyAlignment="1">
      <alignment vertical="center"/>
    </xf>
    <xf numFmtId="0" fontId="48" fillId="3" borderId="28" xfId="6" applyFill="1" applyBorder="1" applyAlignment="1">
      <alignment horizontal="center" vertical="center"/>
    </xf>
    <xf numFmtId="3" fontId="48" fillId="3" borderId="0" xfId="6" applyNumberFormat="1" applyFill="1" applyAlignment="1">
      <alignment vertical="center"/>
    </xf>
    <xf numFmtId="0" fontId="48" fillId="3" borderId="23" xfId="6" applyFill="1" applyBorder="1" applyAlignment="1">
      <alignment vertical="center"/>
    </xf>
    <xf numFmtId="0" fontId="48" fillId="3" borderId="1" xfId="6" applyFill="1" applyBorder="1" applyAlignment="1">
      <alignment vertical="center"/>
    </xf>
    <xf numFmtId="0" fontId="48" fillId="3" borderId="2" xfId="6" applyFill="1" applyBorder="1" applyAlignment="1">
      <alignment vertical="center"/>
    </xf>
    <xf numFmtId="0" fontId="61" fillId="3" borderId="43" xfId="6" applyFont="1" applyFill="1" applyBorder="1" applyAlignment="1">
      <alignment vertical="center"/>
    </xf>
    <xf numFmtId="0" fontId="48" fillId="3" borderId="44" xfId="6" applyFill="1" applyBorder="1" applyAlignment="1">
      <alignment vertical="center"/>
    </xf>
    <xf numFmtId="0" fontId="48" fillId="3" borderId="45" xfId="6" applyFill="1" applyBorder="1" applyAlignment="1">
      <alignment vertical="center"/>
    </xf>
    <xf numFmtId="0" fontId="48" fillId="3" borderId="46" xfId="6" applyFill="1" applyBorder="1" applyAlignment="1">
      <alignment vertical="center"/>
    </xf>
    <xf numFmtId="0" fontId="48" fillId="3" borderId="14" xfId="6" applyFill="1" applyBorder="1" applyAlignment="1">
      <alignment vertical="center"/>
    </xf>
    <xf numFmtId="0" fontId="48" fillId="3" borderId="27" xfId="6" applyFill="1" applyBorder="1" applyAlignment="1">
      <alignment vertical="center"/>
    </xf>
    <xf numFmtId="0" fontId="48" fillId="3" borderId="47" xfId="6" applyFill="1" applyBorder="1" applyAlignment="1">
      <alignment vertical="center"/>
    </xf>
    <xf numFmtId="0" fontId="48" fillId="3" borderId="29" xfId="6" applyFill="1" applyBorder="1" applyAlignment="1">
      <alignment vertical="center"/>
    </xf>
    <xf numFmtId="0" fontId="48" fillId="3" borderId="30" xfId="6" applyFill="1" applyBorder="1" applyAlignment="1">
      <alignment vertical="center"/>
    </xf>
    <xf numFmtId="0" fontId="48" fillId="3" borderId="37" xfId="6" applyFill="1" applyBorder="1" applyAlignment="1">
      <alignment vertical="center"/>
    </xf>
    <xf numFmtId="0" fontId="48" fillId="3" borderId="38" xfId="6" applyFill="1" applyBorder="1" applyAlignment="1">
      <alignment vertical="center"/>
    </xf>
    <xf numFmtId="0" fontId="48" fillId="3" borderId="39" xfId="6" applyFill="1" applyBorder="1" applyAlignment="1">
      <alignment vertical="center"/>
    </xf>
    <xf numFmtId="0" fontId="48" fillId="3" borderId="19" xfId="6" applyFill="1" applyBorder="1" applyAlignment="1">
      <alignment horizontal="center" vertical="center"/>
    </xf>
    <xf numFmtId="0" fontId="48" fillId="3" borderId="6" xfId="6" applyFill="1" applyBorder="1" applyAlignment="1">
      <alignment vertical="center"/>
    </xf>
    <xf numFmtId="0" fontId="48" fillId="13" borderId="45" xfId="6" applyFill="1" applyBorder="1" applyAlignment="1">
      <alignment horizontal="center" vertical="center"/>
    </xf>
    <xf numFmtId="0" fontId="48" fillId="3" borderId="49" xfId="6" applyFill="1" applyBorder="1" applyAlignment="1">
      <alignment vertical="center"/>
    </xf>
    <xf numFmtId="0" fontId="48" fillId="3" borderId="50" xfId="6" applyFill="1" applyBorder="1" applyAlignment="1">
      <alignment vertical="center"/>
    </xf>
    <xf numFmtId="0" fontId="48" fillId="3" borderId="51" xfId="6" applyFill="1" applyBorder="1" applyAlignment="1">
      <alignment vertical="center"/>
    </xf>
    <xf numFmtId="0" fontId="48" fillId="3" borderId="31" xfId="6" applyFill="1" applyBorder="1" applyAlignment="1">
      <alignment vertical="center"/>
    </xf>
    <xf numFmtId="0" fontId="64" fillId="3" borderId="0" xfId="6" applyFont="1" applyFill="1" applyAlignment="1">
      <alignment vertical="center"/>
    </xf>
    <xf numFmtId="0" fontId="48" fillId="3" borderId="1" xfId="6" applyFill="1" applyBorder="1" applyAlignment="1">
      <alignment horizontal="center" vertical="center"/>
    </xf>
    <xf numFmtId="0" fontId="48" fillId="3" borderId="2" xfId="6" applyFill="1" applyBorder="1" applyAlignment="1">
      <alignment horizontal="center" vertical="center"/>
    </xf>
    <xf numFmtId="0" fontId="48" fillId="3" borderId="6" xfId="6" applyFill="1" applyBorder="1" applyAlignment="1">
      <alignment horizontal="center" vertical="center"/>
    </xf>
    <xf numFmtId="0" fontId="67" fillId="3" borderId="0" xfId="6" applyFont="1" applyFill="1" applyAlignment="1">
      <alignment horizontal="center" wrapText="1"/>
    </xf>
    <xf numFmtId="0" fontId="48" fillId="3" borderId="0" xfId="6" applyFill="1" applyAlignment="1">
      <alignment horizontal="center"/>
    </xf>
    <xf numFmtId="0" fontId="48" fillId="3" borderId="5" xfId="6" applyFill="1" applyBorder="1" applyAlignment="1">
      <alignment horizontal="center"/>
    </xf>
    <xf numFmtId="0" fontId="48" fillId="3" borderId="3" xfId="6" applyFill="1" applyBorder="1" applyAlignment="1">
      <alignment horizontal="center"/>
    </xf>
    <xf numFmtId="0" fontId="48" fillId="3" borderId="3" xfId="6" applyFill="1" applyBorder="1" applyAlignment="1">
      <alignment vertical="center"/>
    </xf>
    <xf numFmtId="0" fontId="67" fillId="3" borderId="8" xfId="6" applyFont="1" applyFill="1" applyBorder="1" applyAlignment="1">
      <alignment horizontal="center" wrapText="1"/>
    </xf>
    <xf numFmtId="0" fontId="48" fillId="3" borderId="5" xfId="6" quotePrefix="1" applyFill="1" applyBorder="1" applyAlignment="1">
      <alignment horizontal="left" vertical="center" wrapText="1"/>
    </xf>
    <xf numFmtId="0" fontId="48" fillId="3" borderId="3" xfId="6" applyFill="1" applyBorder="1" applyAlignment="1">
      <alignment horizontal="left" vertical="center" wrapText="1"/>
    </xf>
    <xf numFmtId="0" fontId="48" fillId="3" borderId="8" xfId="6" applyFill="1" applyBorder="1" applyAlignment="1">
      <alignment horizontal="left" vertical="center" wrapText="1"/>
    </xf>
    <xf numFmtId="0" fontId="48" fillId="3" borderId="10" xfId="6" applyFill="1" applyBorder="1" applyAlignment="1">
      <alignment vertical="center"/>
    </xf>
    <xf numFmtId="0" fontId="58" fillId="3" borderId="32" xfId="6" applyFont="1" applyFill="1" applyBorder="1" applyAlignment="1">
      <alignment horizontal="center" vertical="center"/>
    </xf>
    <xf numFmtId="0" fontId="58" fillId="3" borderId="33" xfId="6" applyFont="1" applyFill="1" applyBorder="1" applyAlignment="1">
      <alignment horizontal="center" vertical="center"/>
    </xf>
    <xf numFmtId="0" fontId="48" fillId="3" borderId="0" xfId="6" applyFill="1" applyAlignment="1">
      <alignment horizontal="left" vertical="center"/>
    </xf>
    <xf numFmtId="0" fontId="48" fillId="3" borderId="0" xfId="6" quotePrefix="1" applyFill="1" applyAlignment="1">
      <alignment horizontal="right" vertical="center"/>
    </xf>
    <xf numFmtId="0" fontId="48" fillId="3" borderId="0" xfId="6" applyFill="1" applyAlignment="1">
      <alignment horizontal="right" vertical="center"/>
    </xf>
    <xf numFmtId="0" fontId="69" fillId="3" borderId="0" xfId="6" applyFont="1" applyFill="1" applyAlignment="1">
      <alignment vertical="center"/>
    </xf>
    <xf numFmtId="0" fontId="64" fillId="0" borderId="32" xfId="6" applyFont="1" applyBorder="1" applyAlignment="1">
      <alignment vertical="center"/>
    </xf>
    <xf numFmtId="0" fontId="48" fillId="0" borderId="32" xfId="6" applyBorder="1" applyAlignment="1">
      <alignment vertical="center"/>
    </xf>
    <xf numFmtId="0" fontId="70" fillId="0" borderId="31" xfId="6" applyFont="1" applyBorder="1" applyAlignment="1">
      <alignment vertical="center"/>
    </xf>
    <xf numFmtId="0" fontId="48" fillId="0" borderId="33" xfId="6" applyBorder="1" applyAlignment="1">
      <alignment vertical="center"/>
    </xf>
    <xf numFmtId="0" fontId="71" fillId="0" borderId="0" xfId="6" applyFont="1" applyAlignment="1">
      <alignment horizontal="center" vertical="center"/>
    </xf>
    <xf numFmtId="0" fontId="71" fillId="3" borderId="0" xfId="6" applyFont="1" applyFill="1" applyAlignment="1">
      <alignment vertical="center"/>
    </xf>
    <xf numFmtId="0" fontId="71" fillId="3" borderId="0" xfId="6" applyFont="1" applyFill="1" applyAlignment="1">
      <alignment horizontal="center" vertical="center"/>
    </xf>
    <xf numFmtId="0" fontId="72" fillId="0" borderId="0" xfId="6" applyFont="1" applyAlignment="1">
      <alignment horizontal="center" vertical="center"/>
    </xf>
    <xf numFmtId="0" fontId="72" fillId="0" borderId="36" xfId="6" applyFont="1" applyBorder="1" applyAlignment="1">
      <alignment horizontal="center" vertical="center"/>
    </xf>
    <xf numFmtId="0" fontId="71" fillId="0" borderId="0" xfId="6" applyFont="1" applyAlignment="1">
      <alignment vertical="center"/>
    </xf>
    <xf numFmtId="0" fontId="71" fillId="0" borderId="0" xfId="6" applyFont="1" applyAlignment="1">
      <alignment horizontal="center" vertical="center" wrapText="1"/>
    </xf>
    <xf numFmtId="0" fontId="71" fillId="3" borderId="0" xfId="6" applyFont="1" applyFill="1" applyAlignment="1">
      <alignment vertical="center" wrapText="1"/>
    </xf>
    <xf numFmtId="0" fontId="72" fillId="0" borderId="0" xfId="6" applyFont="1" applyAlignment="1">
      <alignment horizontal="center" vertical="center" wrapText="1"/>
    </xf>
    <xf numFmtId="0" fontId="72" fillId="0" borderId="4" xfId="6" applyFont="1" applyBorder="1" applyAlignment="1">
      <alignment horizontal="left" vertical="center" wrapText="1"/>
    </xf>
    <xf numFmtId="0" fontId="72" fillId="3" borderId="0" xfId="6" applyFont="1" applyFill="1" applyAlignment="1">
      <alignment horizontal="center" vertical="center"/>
    </xf>
    <xf numFmtId="0" fontId="72" fillId="3" borderId="4" xfId="6" applyFont="1" applyFill="1" applyBorder="1" applyAlignment="1">
      <alignment horizontal="center" vertical="center"/>
    </xf>
    <xf numFmtId="0" fontId="72" fillId="3" borderId="0" xfId="6" applyFont="1" applyFill="1" applyAlignment="1">
      <alignment vertical="center"/>
    </xf>
    <xf numFmtId="0" fontId="72" fillId="3" borderId="7" xfId="6" applyFont="1" applyFill="1" applyBorder="1" applyAlignment="1">
      <alignment horizontal="center" vertical="center"/>
    </xf>
    <xf numFmtId="0" fontId="72" fillId="0" borderId="7" xfId="6" applyFont="1" applyBorder="1" applyAlignment="1">
      <alignment horizontal="center" vertical="center"/>
    </xf>
    <xf numFmtId="0" fontId="72" fillId="0" borderId="0" xfId="6" applyFont="1" applyAlignment="1">
      <alignment vertical="center"/>
    </xf>
    <xf numFmtId="0" fontId="72" fillId="0" borderId="5" xfId="6" applyFont="1" applyBorder="1" applyAlignment="1">
      <alignment horizontal="left" vertical="center" wrapText="1"/>
    </xf>
    <xf numFmtId="0" fontId="72" fillId="0" borderId="3" xfId="6" applyFont="1" applyBorder="1" applyAlignment="1">
      <alignment horizontal="center" vertical="center" wrapText="1"/>
    </xf>
    <xf numFmtId="0" fontId="72" fillId="3" borderId="3" xfId="6" applyFont="1" applyFill="1" applyBorder="1" applyAlignment="1">
      <alignment horizontal="center" vertical="center"/>
    </xf>
    <xf numFmtId="0" fontId="72" fillId="3" borderId="5" xfId="6" applyFont="1" applyFill="1" applyBorder="1" applyAlignment="1">
      <alignment horizontal="center" vertical="center"/>
    </xf>
    <xf numFmtId="0" fontId="72" fillId="3" borderId="3" xfId="6" applyFont="1" applyFill="1" applyBorder="1" applyAlignment="1">
      <alignment vertical="center"/>
    </xf>
    <xf numFmtId="0" fontId="72" fillId="3" borderId="8" xfId="6" applyFont="1" applyFill="1" applyBorder="1" applyAlignment="1">
      <alignment vertical="center"/>
    </xf>
    <xf numFmtId="0" fontId="72" fillId="0" borderId="0" xfId="6" applyFont="1" applyAlignment="1">
      <alignment vertical="center" wrapText="1"/>
    </xf>
    <xf numFmtId="0" fontId="72" fillId="0" borderId="7" xfId="6" applyFont="1" applyBorder="1" applyAlignment="1">
      <alignment vertical="center" wrapText="1"/>
    </xf>
    <xf numFmtId="0" fontId="72" fillId="0" borderId="3" xfId="6" applyFont="1" applyBorder="1" applyAlignment="1">
      <alignment horizontal="center" vertical="center"/>
    </xf>
    <xf numFmtId="0" fontId="72" fillId="0" borderId="8" xfId="6" applyFont="1" applyBorder="1" applyAlignment="1">
      <alignment horizontal="center" vertical="center"/>
    </xf>
    <xf numFmtId="0" fontId="72" fillId="0" borderId="52" xfId="6" applyFont="1" applyBorder="1" applyAlignment="1">
      <alignment horizontal="center" vertical="center"/>
    </xf>
    <xf numFmtId="0" fontId="48" fillId="3" borderId="53" xfId="6" applyFill="1" applyBorder="1" applyAlignment="1">
      <alignment vertical="center"/>
    </xf>
    <xf numFmtId="0" fontId="72" fillId="3" borderId="4" xfId="6" applyFont="1" applyFill="1" applyBorder="1" applyAlignment="1">
      <alignment vertical="center"/>
    </xf>
    <xf numFmtId="0" fontId="72" fillId="0" borderId="7" xfId="6" applyFont="1" applyBorder="1" applyAlignment="1">
      <alignment horizontal="center" vertical="center" wrapText="1"/>
    </xf>
    <xf numFmtId="0" fontId="72" fillId="0" borderId="4" xfId="6" applyFont="1" applyBorder="1" applyAlignment="1">
      <alignment horizontal="center" vertical="center"/>
    </xf>
    <xf numFmtId="0" fontId="49" fillId="13" borderId="40" xfId="6" applyFont="1" applyFill="1" applyBorder="1" applyAlignment="1">
      <alignment vertical="center"/>
    </xf>
    <xf numFmtId="0" fontId="49" fillId="13" borderId="41" xfId="6" applyFont="1" applyFill="1" applyBorder="1" applyAlignment="1">
      <alignment vertical="center"/>
    </xf>
    <xf numFmtId="0" fontId="74" fillId="13" borderId="41" xfId="6" applyFont="1" applyFill="1" applyBorder="1" applyAlignment="1">
      <alignment vertical="center"/>
    </xf>
    <xf numFmtId="0" fontId="74" fillId="13" borderId="40" xfId="6" applyFont="1" applyFill="1" applyBorder="1" applyAlignment="1">
      <alignment vertical="center"/>
    </xf>
    <xf numFmtId="0" fontId="48" fillId="13" borderId="42" xfId="6" applyFill="1" applyBorder="1" applyAlignment="1">
      <alignment vertical="center"/>
    </xf>
    <xf numFmtId="3" fontId="41" fillId="0" borderId="54" xfId="0" applyNumberFormat="1" applyFont="1" applyBorder="1" applyAlignment="1">
      <alignment vertical="center"/>
    </xf>
    <xf numFmtId="3" fontId="41" fillId="0" borderId="34" xfId="0" applyNumberFormat="1" applyFont="1" applyBorder="1" applyAlignment="1">
      <alignment vertical="center"/>
    </xf>
    <xf numFmtId="0" fontId="42" fillId="0" borderId="34" xfId="0" applyFont="1" applyBorder="1" applyAlignment="1">
      <alignment vertical="center"/>
    </xf>
    <xf numFmtId="0" fontId="42" fillId="0" borderId="55" xfId="0" applyFont="1" applyBorder="1" applyAlignment="1">
      <alignment vertical="center"/>
    </xf>
    <xf numFmtId="0" fontId="42" fillId="0" borderId="34" xfId="0" applyFont="1" applyBorder="1" applyAlignment="1">
      <alignment horizontal="centerContinuous" vertical="center"/>
    </xf>
    <xf numFmtId="0" fontId="42" fillId="0" borderId="56" xfId="0" applyFont="1" applyBorder="1" applyAlignment="1">
      <alignment vertical="center"/>
    </xf>
    <xf numFmtId="0" fontId="42" fillId="8" borderId="38" xfId="0" applyFont="1" applyFill="1" applyBorder="1" applyAlignment="1">
      <alignment vertical="center"/>
    </xf>
    <xf numFmtId="0" fontId="42" fillId="8" borderId="38" xfId="0" applyFont="1" applyFill="1" applyBorder="1" applyAlignment="1">
      <alignment horizontal="right" vertical="center"/>
    </xf>
    <xf numFmtId="0" fontId="42" fillId="8" borderId="39" xfId="0" applyFont="1" applyFill="1" applyBorder="1" applyAlignment="1">
      <alignment vertical="center"/>
    </xf>
    <xf numFmtId="3" fontId="23" fillId="0" borderId="58" xfId="2" applyNumberFormat="1" applyFont="1" applyBorder="1"/>
    <xf numFmtId="0" fontId="9" fillId="4" borderId="0" xfId="3" applyFont="1" applyFill="1" applyAlignment="1">
      <alignment horizontal="center" vertical="center" wrapText="1"/>
    </xf>
    <xf numFmtId="0" fontId="9" fillId="8" borderId="0" xfId="3" applyFont="1" applyFill="1" applyAlignment="1">
      <alignment horizontal="center" vertical="center"/>
    </xf>
    <xf numFmtId="0" fontId="11" fillId="4" borderId="0" xfId="3" applyFont="1" applyFill="1" applyAlignment="1">
      <alignment horizontal="center" vertical="center" wrapText="1"/>
    </xf>
    <xf numFmtId="0" fontId="9" fillId="4" borderId="0" xfId="3" applyFont="1" applyFill="1" applyAlignment="1">
      <alignment horizontal="center" vertical="center"/>
    </xf>
    <xf numFmtId="0" fontId="10" fillId="7" borderId="23" xfId="3" applyFont="1" applyFill="1" applyBorder="1" applyAlignment="1">
      <alignment horizontal="center" vertical="center" wrapText="1"/>
    </xf>
    <xf numFmtId="0" fontId="7" fillId="7" borderId="23" xfId="3" applyFont="1" applyFill="1" applyBorder="1"/>
    <xf numFmtId="3" fontId="7" fillId="7" borderId="23" xfId="2" applyNumberFormat="1" applyFont="1" applyFill="1" applyBorder="1"/>
    <xf numFmtId="0" fontId="6" fillId="14" borderId="23" xfId="0" applyFont="1" applyFill="1" applyBorder="1" applyAlignment="1">
      <alignment vertical="center"/>
    </xf>
    <xf numFmtId="0" fontId="75" fillId="12" borderId="23" xfId="6" applyFont="1" applyFill="1" applyBorder="1" applyAlignment="1">
      <alignment horizontal="center" vertical="center"/>
    </xf>
    <xf numFmtId="0" fontId="2" fillId="0" borderId="23" xfId="4" applyFont="1" applyBorder="1" applyAlignment="1">
      <alignment horizontal="center" vertical="center"/>
    </xf>
    <xf numFmtId="0" fontId="47" fillId="0" borderId="23" xfId="4" applyFont="1" applyBorder="1" applyAlignment="1">
      <alignment horizontal="center" vertical="center"/>
    </xf>
    <xf numFmtId="0" fontId="47" fillId="0" borderId="23" xfId="4" applyFont="1" applyBorder="1" applyAlignment="1">
      <alignment horizontal="center" vertical="center" wrapText="1"/>
    </xf>
    <xf numFmtId="0" fontId="11" fillId="7" borderId="23" xfId="3" applyFont="1" applyFill="1" applyBorder="1" applyAlignment="1">
      <alignment vertical="center"/>
    </xf>
    <xf numFmtId="0" fontId="1" fillId="0" borderId="23" xfId="4" applyFont="1" applyBorder="1" applyAlignment="1">
      <alignment horizontal="center" vertical="center"/>
    </xf>
    <xf numFmtId="0" fontId="44" fillId="0" borderId="18" xfId="4" applyFont="1" applyBorder="1" applyAlignment="1">
      <alignment horizontal="center" vertical="center"/>
    </xf>
    <xf numFmtId="0" fontId="44" fillId="0" borderId="28" xfId="4" applyFont="1" applyBorder="1" applyAlignment="1">
      <alignment horizontal="center" vertical="center"/>
    </xf>
    <xf numFmtId="0" fontId="44" fillId="0" borderId="19" xfId="4" applyFont="1" applyBorder="1" applyAlignment="1">
      <alignment horizontal="center" vertical="center"/>
    </xf>
    <xf numFmtId="168" fontId="6" fillId="4" borderId="3" xfId="0" applyNumberFormat="1" applyFont="1" applyFill="1" applyBorder="1" applyAlignment="1">
      <alignment horizontal="right" vertical="center"/>
    </xf>
    <xf numFmtId="3" fontId="6" fillId="4" borderId="13" xfId="0" applyNumberFormat="1" applyFont="1" applyFill="1" applyBorder="1" applyAlignment="1">
      <alignment horizontal="right" vertical="center"/>
    </xf>
    <xf numFmtId="3" fontId="6" fillId="4" borderId="14" xfId="0" applyNumberFormat="1" applyFont="1" applyFill="1" applyBorder="1" applyAlignment="1">
      <alignment horizontal="right" vertical="center"/>
    </xf>
    <xf numFmtId="0" fontId="6" fillId="0" borderId="18" xfId="0" applyFont="1" applyBorder="1" applyAlignment="1">
      <alignment horizontal="center" vertical="center"/>
    </xf>
    <xf numFmtId="0" fontId="6" fillId="0" borderId="28" xfId="0" applyFont="1" applyBorder="1" applyAlignment="1">
      <alignment horizontal="center" vertical="center"/>
    </xf>
    <xf numFmtId="0" fontId="6" fillId="0" borderId="19" xfId="0" applyFont="1" applyBorder="1" applyAlignment="1">
      <alignment horizontal="center" vertical="center"/>
    </xf>
    <xf numFmtId="0" fontId="10" fillId="4" borderId="1" xfId="0" applyFont="1" applyFill="1" applyBorder="1" applyAlignment="1">
      <alignment horizontal="center" vertical="top" wrapText="1"/>
    </xf>
    <xf numFmtId="0" fontId="10" fillId="4" borderId="2" xfId="0" applyFont="1" applyFill="1" applyBorder="1" applyAlignment="1">
      <alignment horizontal="center" vertical="top" wrapText="1"/>
    </xf>
    <xf numFmtId="0" fontId="10" fillId="4" borderId="6" xfId="0" applyFont="1" applyFill="1" applyBorder="1" applyAlignment="1">
      <alignment horizontal="center" vertical="top" wrapText="1"/>
    </xf>
    <xf numFmtId="0" fontId="10" fillId="4" borderId="5" xfId="0" applyFont="1" applyFill="1" applyBorder="1" applyAlignment="1">
      <alignment horizontal="center" vertical="top" wrapText="1"/>
    </xf>
    <xf numFmtId="0" fontId="10" fillId="4" borderId="3" xfId="0" applyFont="1" applyFill="1" applyBorder="1" applyAlignment="1">
      <alignment horizontal="center" vertical="top" wrapText="1"/>
    </xf>
    <xf numFmtId="0" fontId="10" fillId="4" borderId="8" xfId="0" applyFont="1" applyFill="1" applyBorder="1" applyAlignment="1">
      <alignment horizontal="center" vertical="top" wrapText="1"/>
    </xf>
    <xf numFmtId="0" fontId="9" fillId="4" borderId="29" xfId="0" applyFont="1" applyFill="1" applyBorder="1" applyAlignment="1">
      <alignment horizontal="center" vertical="center"/>
    </xf>
    <xf numFmtId="0" fontId="9" fillId="4" borderId="30" xfId="0" applyFont="1" applyFill="1" applyBorder="1" applyAlignment="1">
      <alignment horizontal="center" vertical="center"/>
    </xf>
    <xf numFmtId="0" fontId="6" fillId="4" borderId="4" xfId="0" applyFont="1" applyFill="1" applyBorder="1" applyAlignment="1">
      <alignment horizontal="left" vertical="top"/>
    </xf>
    <xf numFmtId="0" fontId="6" fillId="4" borderId="0" xfId="0" applyFont="1" applyFill="1" applyAlignment="1">
      <alignment horizontal="left" vertical="top"/>
    </xf>
    <xf numFmtId="0" fontId="6" fillId="4" borderId="7" xfId="0" applyFont="1" applyFill="1" applyBorder="1" applyAlignment="1">
      <alignment horizontal="left" vertical="top"/>
    </xf>
    <xf numFmtId="0" fontId="6" fillId="4" borderId="5" xfId="0" applyFont="1" applyFill="1" applyBorder="1" applyAlignment="1">
      <alignment horizontal="left" vertical="top"/>
    </xf>
    <xf numFmtId="0" fontId="6" fillId="4" borderId="3" xfId="0" applyFont="1" applyFill="1" applyBorder="1" applyAlignment="1">
      <alignment horizontal="left" vertical="top"/>
    </xf>
    <xf numFmtId="0" fontId="6" fillId="4" borderId="8" xfId="0" applyFont="1" applyFill="1" applyBorder="1" applyAlignment="1">
      <alignment horizontal="left" vertical="top"/>
    </xf>
    <xf numFmtId="168" fontId="6" fillId="4" borderId="0" xfId="0" applyNumberFormat="1" applyFont="1" applyFill="1" applyAlignment="1">
      <alignment horizontal="right" vertical="center"/>
    </xf>
    <xf numFmtId="170" fontId="6" fillId="4" borderId="3" xfId="0" applyNumberFormat="1" applyFont="1" applyFill="1" applyBorder="1" applyAlignment="1" applyProtection="1">
      <alignment horizontal="right" vertical="center"/>
      <protection locked="0"/>
    </xf>
    <xf numFmtId="3" fontId="6" fillId="4" borderId="3" xfId="0" applyNumberFormat="1" applyFont="1" applyFill="1" applyBorder="1" applyAlignment="1" applyProtection="1">
      <alignment horizontal="right" vertical="center"/>
      <protection locked="0"/>
    </xf>
    <xf numFmtId="169" fontId="6" fillId="4" borderId="3" xfId="0" applyNumberFormat="1" applyFont="1" applyFill="1" applyBorder="1" applyAlignment="1">
      <alignment horizontal="center" vertical="center"/>
    </xf>
    <xf numFmtId="0" fontId="6" fillId="0" borderId="20" xfId="0" applyFont="1" applyBorder="1" applyAlignment="1">
      <alignment horizontal="center" vertical="center" textRotation="90"/>
    </xf>
    <xf numFmtId="0" fontId="6" fillId="0" borderId="21" xfId="0" applyFont="1" applyBorder="1" applyAlignment="1">
      <alignment horizontal="center" vertical="center" textRotation="90"/>
    </xf>
    <xf numFmtId="0" fontId="6" fillId="0" borderId="22" xfId="0" applyFont="1" applyBorder="1" applyAlignment="1">
      <alignment horizontal="center" vertical="center" textRotation="90"/>
    </xf>
    <xf numFmtId="0" fontId="6" fillId="0" borderId="23" xfId="0" applyFont="1" applyBorder="1" applyAlignment="1">
      <alignment horizontal="center" vertical="center" textRotation="90"/>
    </xf>
    <xf numFmtId="0" fontId="6" fillId="4" borderId="2" xfId="0" applyFont="1" applyFill="1" applyBorder="1" applyAlignment="1">
      <alignment horizontal="left" vertical="center"/>
    </xf>
    <xf numFmtId="0" fontId="6" fillId="0" borderId="0" xfId="0" applyFont="1" applyAlignment="1">
      <alignment horizontal="center" vertical="center"/>
    </xf>
    <xf numFmtId="0" fontId="6" fillId="4" borderId="13" xfId="0" applyFont="1" applyFill="1" applyBorder="1" applyAlignment="1">
      <alignment horizontal="left" vertical="center"/>
    </xf>
    <xf numFmtId="0" fontId="6" fillId="4" borderId="14" xfId="0" applyFont="1" applyFill="1" applyBorder="1" applyAlignment="1">
      <alignment horizontal="left" vertical="center"/>
    </xf>
    <xf numFmtId="0" fontId="6" fillId="4" borderId="17" xfId="0" applyFont="1" applyFill="1" applyBorder="1" applyAlignment="1">
      <alignment horizontal="left" vertical="center"/>
    </xf>
    <xf numFmtId="0" fontId="8" fillId="4" borderId="13" xfId="0" applyFont="1" applyFill="1" applyBorder="1" applyAlignment="1">
      <alignment horizontal="left" vertical="center"/>
    </xf>
    <xf numFmtId="0" fontId="8" fillId="4" borderId="14" xfId="0" applyFont="1" applyFill="1" applyBorder="1" applyAlignment="1">
      <alignment horizontal="left" vertical="center"/>
    </xf>
    <xf numFmtId="0" fontId="8" fillId="4" borderId="17" xfId="0" applyFont="1" applyFill="1" applyBorder="1" applyAlignment="1">
      <alignment horizontal="left" vertical="center"/>
    </xf>
    <xf numFmtId="166" fontId="11" fillId="4" borderId="3" xfId="0" applyNumberFormat="1" applyFont="1" applyFill="1" applyBorder="1" applyAlignment="1">
      <alignment horizontal="right" vertical="center"/>
    </xf>
    <xf numFmtId="0" fontId="16" fillId="0" borderId="0" xfId="0" applyFont="1" applyAlignment="1">
      <alignment horizontal="center" vertical="center"/>
    </xf>
    <xf numFmtId="165" fontId="11" fillId="4" borderId="1" xfId="0" applyNumberFormat="1" applyFont="1" applyFill="1" applyBorder="1" applyAlignment="1">
      <alignment horizontal="center" vertical="center"/>
    </xf>
    <xf numFmtId="165" fontId="11" fillId="4" borderId="6" xfId="0" applyNumberFormat="1" applyFont="1" applyFill="1" applyBorder="1" applyAlignment="1">
      <alignment horizontal="center" vertical="center"/>
    </xf>
    <xf numFmtId="49" fontId="6" fillId="0" borderId="3" xfId="0" applyNumberFormat="1" applyFont="1" applyBorder="1" applyAlignment="1">
      <alignment horizontal="left" vertical="center"/>
    </xf>
    <xf numFmtId="0" fontId="9" fillId="4" borderId="5"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8" xfId="0" applyFont="1" applyFill="1" applyBorder="1" applyAlignment="1">
      <alignment horizontal="center" vertical="center"/>
    </xf>
    <xf numFmtId="3" fontId="11" fillId="4" borderId="3" xfId="0" applyNumberFormat="1" applyFont="1" applyFill="1" applyBorder="1" applyAlignment="1">
      <alignment horizontal="right" vertical="center"/>
    </xf>
    <xf numFmtId="0" fontId="8" fillId="4" borderId="4" xfId="0" applyFont="1" applyFill="1" applyBorder="1" applyAlignment="1">
      <alignment horizontal="left" vertical="top" wrapText="1"/>
    </xf>
    <xf numFmtId="0" fontId="8" fillId="4" borderId="0" xfId="0" applyFont="1" applyFill="1" applyAlignment="1">
      <alignment horizontal="left" vertical="top" wrapText="1"/>
    </xf>
    <xf numFmtId="0" fontId="8" fillId="4" borderId="7" xfId="0" applyFont="1" applyFill="1" applyBorder="1" applyAlignment="1">
      <alignment horizontal="left" vertical="top" wrapText="1"/>
    </xf>
    <xf numFmtId="0" fontId="8" fillId="4" borderId="5" xfId="0" applyFont="1" applyFill="1" applyBorder="1" applyAlignment="1">
      <alignment horizontal="left" vertical="top" wrapText="1"/>
    </xf>
    <xf numFmtId="0" fontId="8" fillId="4" borderId="3" xfId="0" applyFont="1" applyFill="1" applyBorder="1" applyAlignment="1">
      <alignment horizontal="left" vertical="top" wrapText="1"/>
    </xf>
    <xf numFmtId="0" fontId="8" fillId="4" borderId="8" xfId="0" applyFont="1" applyFill="1" applyBorder="1" applyAlignment="1">
      <alignment horizontal="left" vertical="top" wrapText="1"/>
    </xf>
    <xf numFmtId="0" fontId="8" fillId="4" borderId="4" xfId="0" applyFont="1" applyFill="1" applyBorder="1" applyAlignment="1">
      <alignment vertical="center" wrapText="1"/>
    </xf>
    <xf numFmtId="0" fontId="8" fillId="4" borderId="0" xfId="0" applyFont="1" applyFill="1" applyAlignment="1">
      <alignment vertical="center"/>
    </xf>
    <xf numFmtId="0" fontId="8" fillId="4" borderId="7" xfId="0" applyFont="1" applyFill="1" applyBorder="1" applyAlignment="1">
      <alignment vertical="center"/>
    </xf>
    <xf numFmtId="0" fontId="8" fillId="4" borderId="4" xfId="0" applyFont="1" applyFill="1" applyBorder="1" applyAlignment="1">
      <alignment vertical="center"/>
    </xf>
    <xf numFmtId="0" fontId="8" fillId="4" borderId="5" xfId="0" applyFont="1" applyFill="1" applyBorder="1" applyAlignment="1">
      <alignment vertical="center"/>
    </xf>
    <xf numFmtId="0" fontId="8" fillId="4" borderId="3" xfId="0" applyFont="1" applyFill="1" applyBorder="1" applyAlignment="1">
      <alignment vertical="center"/>
    </xf>
    <xf numFmtId="0" fontId="8" fillId="4" borderId="8" xfId="0" applyFont="1" applyFill="1" applyBorder="1" applyAlignment="1">
      <alignment vertical="center"/>
    </xf>
    <xf numFmtId="3" fontId="10" fillId="4" borderId="5" xfId="0" applyNumberFormat="1" applyFont="1" applyFill="1" applyBorder="1" applyAlignment="1">
      <alignment horizontal="left" vertical="center"/>
    </xf>
    <xf numFmtId="3" fontId="10" fillId="4" borderId="3" xfId="0" applyNumberFormat="1" applyFont="1" applyFill="1" applyBorder="1" applyAlignment="1">
      <alignment horizontal="left" vertical="center"/>
    </xf>
    <xf numFmtId="0" fontId="38" fillId="0" borderId="18" xfId="0" applyFont="1" applyBorder="1" applyAlignment="1">
      <alignment horizontal="center" vertical="center" wrapText="1"/>
    </xf>
    <xf numFmtId="0" fontId="38" fillId="0" borderId="28" xfId="0" applyFont="1" applyBorder="1" applyAlignment="1">
      <alignment horizontal="center" vertical="center" wrapText="1"/>
    </xf>
    <xf numFmtId="0" fontId="38" fillId="0" borderId="19" xfId="0" applyFont="1" applyBorder="1" applyAlignment="1">
      <alignment horizontal="center" vertical="center" wrapText="1"/>
    </xf>
    <xf numFmtId="0" fontId="32" fillId="0" borderId="0" xfId="0" applyFont="1" applyAlignment="1">
      <alignment horizontal="center" vertical="center" wrapText="1"/>
    </xf>
    <xf numFmtId="166" fontId="9" fillId="0" borderId="0" xfId="0" applyNumberFormat="1" applyFont="1" applyAlignment="1">
      <alignment horizontal="center" vertical="center"/>
    </xf>
    <xf numFmtId="3" fontId="10" fillId="4" borderId="5" xfId="0" quotePrefix="1" applyNumberFormat="1" applyFont="1" applyFill="1" applyBorder="1" applyAlignment="1">
      <alignment horizontal="right" vertical="center"/>
    </xf>
    <xf numFmtId="3" fontId="10" fillId="4" borderId="3" xfId="0" quotePrefix="1" applyNumberFormat="1" applyFont="1" applyFill="1" applyBorder="1" applyAlignment="1">
      <alignment horizontal="right" vertical="center"/>
    </xf>
    <xf numFmtId="171" fontId="10" fillId="4" borderId="3" xfId="0" applyNumberFormat="1" applyFont="1" applyFill="1" applyBorder="1" applyAlignment="1">
      <alignment horizontal="left" vertical="center"/>
    </xf>
    <xf numFmtId="171" fontId="10" fillId="4" borderId="8" xfId="0" applyNumberFormat="1" applyFont="1" applyFill="1" applyBorder="1" applyAlignment="1">
      <alignment horizontal="left" vertical="center"/>
    </xf>
    <xf numFmtId="0" fontId="10" fillId="4" borderId="3" xfId="0" applyFont="1" applyFill="1" applyBorder="1" applyAlignment="1">
      <alignment horizontal="right" vertical="center"/>
    </xf>
    <xf numFmtId="0" fontId="6" fillId="0" borderId="23"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6" fillId="0" borderId="8" xfId="0" applyFont="1" applyBorder="1" applyAlignment="1">
      <alignment horizontal="center" vertical="center"/>
    </xf>
    <xf numFmtId="0" fontId="41" fillId="0" borderId="37" xfId="0" applyFont="1" applyBorder="1" applyAlignment="1">
      <alignment horizontal="left" vertical="center"/>
    </xf>
    <xf numFmtId="0" fontId="41" fillId="0" borderId="38" xfId="0" applyFont="1" applyBorder="1" applyAlignment="1">
      <alignment horizontal="left" vertical="center"/>
    </xf>
    <xf numFmtId="0" fontId="41" fillId="0" borderId="57" xfId="0" applyFont="1" applyBorder="1" applyAlignment="1">
      <alignment horizontal="left" vertical="center"/>
    </xf>
    <xf numFmtId="166" fontId="9" fillId="4" borderId="0" xfId="0" applyNumberFormat="1" applyFont="1" applyFill="1" applyAlignment="1">
      <alignment horizontal="center" vertical="center"/>
    </xf>
    <xf numFmtId="0" fontId="6" fillId="4" borderId="0" xfId="0" applyFont="1" applyFill="1" applyAlignment="1">
      <alignment horizontal="center" vertical="center"/>
    </xf>
    <xf numFmtId="0" fontId="35" fillId="0" borderId="0" xfId="0" applyFont="1" applyAlignment="1">
      <alignment horizontal="left" vertical="top"/>
    </xf>
    <xf numFmtId="0" fontId="36" fillId="0" borderId="23" xfId="0" applyFont="1" applyBorder="1" applyAlignment="1">
      <alignment horizontal="center" vertical="center"/>
    </xf>
    <xf numFmtId="0" fontId="37" fillId="0" borderId="23" xfId="0" applyFont="1" applyBorder="1" applyAlignment="1">
      <alignment horizontal="center" vertical="center"/>
    </xf>
    <xf numFmtId="0" fontId="37" fillId="0" borderId="18" xfId="0" applyFont="1" applyBorder="1" applyAlignment="1">
      <alignment horizontal="center" vertical="center"/>
    </xf>
    <xf numFmtId="0" fontId="37" fillId="0" borderId="28" xfId="0" applyFont="1" applyBorder="1" applyAlignment="1">
      <alignment horizontal="center" vertical="center"/>
    </xf>
    <xf numFmtId="0" fontId="37" fillId="0" borderId="19" xfId="0" applyFont="1" applyBorder="1" applyAlignment="1">
      <alignment horizontal="center" vertical="center"/>
    </xf>
    <xf numFmtId="165" fontId="6" fillId="4" borderId="29" xfId="0" applyNumberFormat="1" applyFont="1" applyFill="1" applyBorder="1" applyAlignment="1">
      <alignment vertical="center"/>
    </xf>
    <xf numFmtId="0" fontId="6" fillId="0" borderId="0" xfId="0" applyFont="1" applyAlignment="1">
      <alignment horizontal="left" vertical="center"/>
    </xf>
    <xf numFmtId="0" fontId="34" fillId="0" borderId="3" xfId="0" applyFont="1" applyBorder="1" applyAlignment="1">
      <alignment horizontal="center" vertical="center"/>
    </xf>
    <xf numFmtId="0" fontId="33" fillId="0" borderId="3" xfId="0" applyFont="1" applyBorder="1" applyAlignment="1">
      <alignment horizontal="center" vertical="center"/>
    </xf>
    <xf numFmtId="3" fontId="42" fillId="8" borderId="38" xfId="0" applyNumberFormat="1" applyFont="1" applyFill="1" applyBorder="1" applyAlignment="1">
      <alignment horizontal="right" vertical="center"/>
    </xf>
    <xf numFmtId="0" fontId="6" fillId="4" borderId="29" xfId="0" applyFont="1" applyFill="1" applyBorder="1" applyAlignment="1">
      <alignment vertical="center"/>
    </xf>
    <xf numFmtId="0" fontId="10" fillId="4" borderId="23" xfId="0" applyFont="1" applyFill="1" applyBorder="1" applyAlignment="1">
      <alignment horizontal="center" vertical="top" wrapText="1"/>
    </xf>
    <xf numFmtId="0" fontId="9" fillId="4" borderId="5" xfId="0" applyFont="1" applyFill="1" applyBorder="1" applyAlignment="1">
      <alignment horizontal="left" vertical="center"/>
    </xf>
    <xf numFmtId="0" fontId="9" fillId="4" borderId="3" xfId="0" applyFont="1" applyFill="1" applyBorder="1" applyAlignment="1">
      <alignment horizontal="left" vertical="center"/>
    </xf>
    <xf numFmtId="0" fontId="9" fillId="4" borderId="8" xfId="0" applyFont="1" applyFill="1" applyBorder="1" applyAlignment="1">
      <alignment horizontal="left" vertical="center"/>
    </xf>
    <xf numFmtId="0" fontId="33" fillId="0" borderId="23" xfId="0" applyFont="1" applyBorder="1" applyAlignment="1">
      <alignment horizontal="center" vertical="top" wrapText="1"/>
    </xf>
    <xf numFmtId="0" fontId="36" fillId="0" borderId="2" xfId="0" applyFont="1" applyBorder="1" applyAlignment="1">
      <alignment horizontal="center" vertical="center"/>
    </xf>
    <xf numFmtId="0" fontId="10" fillId="4" borderId="20" xfId="3" applyFont="1" applyFill="1" applyBorder="1" applyAlignment="1">
      <alignment horizontal="center" vertical="center"/>
    </xf>
    <xf numFmtId="0" fontId="10" fillId="4" borderId="22" xfId="3" applyFont="1" applyFill="1" applyBorder="1" applyAlignment="1">
      <alignment horizontal="center" vertical="center"/>
    </xf>
    <xf numFmtId="0" fontId="10" fillId="7" borderId="20" xfId="3" applyFont="1" applyFill="1" applyBorder="1" applyAlignment="1">
      <alignment horizontal="center" vertical="center"/>
    </xf>
    <xf numFmtId="0" fontId="10" fillId="7" borderId="22" xfId="3" applyFont="1" applyFill="1" applyBorder="1" applyAlignment="1">
      <alignment horizontal="center" vertical="center"/>
    </xf>
    <xf numFmtId="0" fontId="10" fillId="7" borderId="20" xfId="3" applyFont="1" applyFill="1" applyBorder="1" applyAlignment="1">
      <alignment horizontal="center" vertical="center" wrapText="1"/>
    </xf>
    <xf numFmtId="0" fontId="10" fillId="7" borderId="22" xfId="3" applyFont="1" applyFill="1" applyBorder="1" applyAlignment="1">
      <alignment horizontal="center" vertical="center" wrapText="1"/>
    </xf>
    <xf numFmtId="0" fontId="10" fillId="7" borderId="18" xfId="3" applyFont="1" applyFill="1" applyBorder="1" applyAlignment="1">
      <alignment horizontal="center" vertical="center" wrapText="1"/>
    </xf>
    <xf numFmtId="0" fontId="10" fillId="7" borderId="28" xfId="3" applyFont="1" applyFill="1" applyBorder="1" applyAlignment="1">
      <alignment horizontal="center" vertical="center" wrapText="1"/>
    </xf>
    <xf numFmtId="0" fontId="10" fillId="7" borderId="19" xfId="3" applyFont="1" applyFill="1" applyBorder="1" applyAlignment="1">
      <alignment horizontal="center" vertical="center" wrapText="1"/>
    </xf>
    <xf numFmtId="0" fontId="9" fillId="0" borderId="0" xfId="3" applyFont="1" applyAlignment="1">
      <alignment horizontal="left"/>
    </xf>
    <xf numFmtId="0" fontId="9" fillId="0" borderId="0" xfId="3" applyFont="1" applyAlignment="1">
      <alignment horizontal="left" wrapText="1"/>
    </xf>
    <xf numFmtId="0" fontId="21" fillId="0" borderId="1" xfId="3" applyFont="1" applyBorder="1" applyAlignment="1">
      <alignment horizontal="left" wrapText="1"/>
    </xf>
    <xf numFmtId="0" fontId="21" fillId="0" borderId="2" xfId="3" applyFont="1" applyBorder="1" applyAlignment="1">
      <alignment horizontal="left" wrapText="1"/>
    </xf>
    <xf numFmtId="0" fontId="21" fillId="0" borderId="6" xfId="3" applyFont="1" applyBorder="1" applyAlignment="1">
      <alignment horizontal="left" wrapText="1"/>
    </xf>
    <xf numFmtId="0" fontId="21" fillId="0" borderId="5" xfId="3" applyFont="1" applyBorder="1" applyAlignment="1">
      <alignment horizontal="left" wrapText="1"/>
    </xf>
    <xf numFmtId="0" fontId="21" fillId="0" borderId="3" xfId="3" applyFont="1" applyBorder="1" applyAlignment="1">
      <alignment horizontal="left" wrapText="1"/>
    </xf>
    <xf numFmtId="0" fontId="21" fillId="0" borderId="8" xfId="3" applyFont="1" applyBorder="1" applyAlignment="1">
      <alignment horizontal="left" wrapText="1"/>
    </xf>
    <xf numFmtId="0" fontId="72" fillId="3" borderId="4" xfId="6" applyFont="1" applyFill="1" applyBorder="1" applyAlignment="1">
      <alignment horizontal="center" vertical="center"/>
    </xf>
    <xf numFmtId="0" fontId="72" fillId="3" borderId="0" xfId="6" applyFont="1" applyFill="1" applyAlignment="1">
      <alignment horizontal="center" vertical="center"/>
    </xf>
    <xf numFmtId="0" fontId="72" fillId="0" borderId="1" xfId="6" applyFont="1" applyBorder="1" applyAlignment="1">
      <alignment horizontal="center" vertical="center" wrapText="1"/>
    </xf>
    <xf numFmtId="0" fontId="72" fillId="0" borderId="2" xfId="6" applyFont="1" applyBorder="1" applyAlignment="1">
      <alignment horizontal="center" vertical="center" wrapText="1"/>
    </xf>
    <xf numFmtId="0" fontId="72" fillId="0" borderId="6" xfId="6" applyFont="1" applyBorder="1" applyAlignment="1">
      <alignment horizontal="center" vertical="center" wrapText="1"/>
    </xf>
    <xf numFmtId="0" fontId="72" fillId="0" borderId="5" xfId="6" applyFont="1" applyBorder="1" applyAlignment="1">
      <alignment horizontal="center" vertical="center" wrapText="1"/>
    </xf>
    <xf numFmtId="0" fontId="72" fillId="0" borderId="3" xfId="6" applyFont="1" applyBorder="1" applyAlignment="1">
      <alignment horizontal="center" vertical="center" wrapText="1"/>
    </xf>
    <xf numFmtId="0" fontId="72" fillId="0" borderId="8" xfId="6" applyFont="1" applyBorder="1" applyAlignment="1">
      <alignment horizontal="center" vertical="center" wrapText="1"/>
    </xf>
    <xf numFmtId="0" fontId="72" fillId="3" borderId="38" xfId="6" applyFont="1" applyFill="1" applyBorder="1" applyAlignment="1">
      <alignment horizontal="center" vertical="center"/>
    </xf>
    <xf numFmtId="0" fontId="71" fillId="4" borderId="18" xfId="6" applyFont="1" applyFill="1" applyBorder="1" applyAlignment="1">
      <alignment horizontal="center" vertical="center"/>
    </xf>
    <xf numFmtId="0" fontId="71" fillId="4" borderId="28" xfId="6" applyFont="1" applyFill="1" applyBorder="1" applyAlignment="1">
      <alignment horizontal="center" vertical="center"/>
    </xf>
    <xf numFmtId="0" fontId="71" fillId="4" borderId="19" xfId="6" applyFont="1" applyFill="1" applyBorder="1" applyAlignment="1">
      <alignment horizontal="center" vertical="center"/>
    </xf>
    <xf numFmtId="0" fontId="71" fillId="4" borderId="18" xfId="6" applyFont="1" applyFill="1" applyBorder="1" applyAlignment="1">
      <alignment horizontal="center" vertical="center" wrapText="1"/>
    </xf>
    <xf numFmtId="0" fontId="71" fillId="4" borderId="28" xfId="6" applyFont="1" applyFill="1" applyBorder="1" applyAlignment="1">
      <alignment horizontal="center" vertical="center" wrapText="1"/>
    </xf>
    <xf numFmtId="0" fontId="71" fillId="4" borderId="19" xfId="6" applyFont="1" applyFill="1" applyBorder="1" applyAlignment="1">
      <alignment horizontal="center" vertical="center" wrapText="1"/>
    </xf>
    <xf numFmtId="0" fontId="71" fillId="0" borderId="0" xfId="6" applyFont="1" applyAlignment="1">
      <alignment horizontal="center" vertical="center" wrapText="1"/>
    </xf>
    <xf numFmtId="0" fontId="72" fillId="0" borderId="0" xfId="6" applyFont="1" applyAlignment="1">
      <alignment horizontal="center" vertical="center"/>
    </xf>
    <xf numFmtId="0" fontId="68" fillId="5" borderId="18" xfId="6" applyFont="1" applyFill="1" applyBorder="1" applyAlignment="1">
      <alignment horizontal="center" vertical="center"/>
    </xf>
    <xf numFmtId="0" fontId="68" fillId="5" borderId="28" xfId="6" applyFont="1" applyFill="1" applyBorder="1" applyAlignment="1">
      <alignment horizontal="center" vertical="center"/>
    </xf>
    <xf numFmtId="0" fontId="68" fillId="5" borderId="19" xfId="6" applyFont="1" applyFill="1" applyBorder="1" applyAlignment="1">
      <alignment horizontal="center" vertical="center"/>
    </xf>
    <xf numFmtId="38" fontId="68" fillId="5" borderId="18" xfId="7" applyNumberFormat="1" applyFont="1" applyFill="1" applyBorder="1" applyAlignment="1">
      <alignment horizontal="center" vertical="center"/>
    </xf>
    <xf numFmtId="38" fontId="68" fillId="5" borderId="28" xfId="7" applyNumberFormat="1" applyFont="1" applyFill="1" applyBorder="1" applyAlignment="1">
      <alignment horizontal="center" vertical="center"/>
    </xf>
    <xf numFmtId="38" fontId="68" fillId="5" borderId="19" xfId="7" applyNumberFormat="1" applyFont="1" applyFill="1" applyBorder="1" applyAlignment="1">
      <alignment horizontal="center" vertical="center"/>
    </xf>
    <xf numFmtId="0" fontId="48" fillId="3" borderId="5" xfId="6" applyFill="1" applyBorder="1" applyAlignment="1">
      <alignment horizontal="center"/>
    </xf>
    <xf numFmtId="0" fontId="48" fillId="3" borderId="3" xfId="6" applyFill="1" applyBorder="1" applyAlignment="1">
      <alignment horizontal="center"/>
    </xf>
    <xf numFmtId="0" fontId="48" fillId="3" borderId="8" xfId="6" applyFill="1" applyBorder="1" applyAlignment="1">
      <alignment horizontal="center"/>
    </xf>
    <xf numFmtId="0" fontId="58" fillId="3" borderId="32" xfId="6" applyFont="1" applyFill="1" applyBorder="1" applyAlignment="1">
      <alignment horizontal="left" vertical="center"/>
    </xf>
    <xf numFmtId="0" fontId="71" fillId="0" borderId="0" xfId="6" applyFont="1" applyAlignment="1">
      <alignment horizontal="center" vertical="center"/>
    </xf>
    <xf numFmtId="0" fontId="48" fillId="3" borderId="1" xfId="6" quotePrefix="1" applyFill="1" applyBorder="1" applyAlignment="1">
      <alignment horizontal="left" vertical="center" wrapText="1"/>
    </xf>
    <xf numFmtId="0" fontId="48" fillId="3" borderId="2" xfId="6" applyFill="1" applyBorder="1" applyAlignment="1">
      <alignment horizontal="left" vertical="center" wrapText="1"/>
    </xf>
    <xf numFmtId="0" fontId="48" fillId="3" borderId="6" xfId="6" applyFill="1" applyBorder="1" applyAlignment="1">
      <alignment horizontal="left" vertical="center" wrapText="1"/>
    </xf>
    <xf numFmtId="0" fontId="66" fillId="3" borderId="1" xfId="6" applyFont="1" applyFill="1" applyBorder="1" applyAlignment="1">
      <alignment horizontal="center" vertical="center"/>
    </xf>
    <xf numFmtId="0" fontId="66" fillId="3" borderId="2" xfId="6" applyFont="1" applyFill="1" applyBorder="1" applyAlignment="1">
      <alignment horizontal="center" vertical="center"/>
    </xf>
    <xf numFmtId="0" fontId="66" fillId="3" borderId="6" xfId="6" applyFont="1" applyFill="1" applyBorder="1" applyAlignment="1">
      <alignment horizontal="center" vertical="center"/>
    </xf>
    <xf numFmtId="0" fontId="66" fillId="3" borderId="5" xfId="6" applyFont="1" applyFill="1" applyBorder="1" applyAlignment="1">
      <alignment horizontal="center" vertical="center"/>
    </xf>
    <xf numFmtId="0" fontId="66" fillId="3" borderId="3" xfId="6" applyFont="1" applyFill="1" applyBorder="1" applyAlignment="1">
      <alignment horizontal="center" vertical="center"/>
    </xf>
    <xf numFmtId="0" fontId="66" fillId="3" borderId="8" xfId="6" applyFont="1" applyFill="1" applyBorder="1" applyAlignment="1">
      <alignment horizontal="center" vertical="center"/>
    </xf>
    <xf numFmtId="38" fontId="66" fillId="3" borderId="1" xfId="7" applyNumberFormat="1" applyFont="1" applyFill="1" applyBorder="1" applyAlignment="1">
      <alignment horizontal="center" vertical="center"/>
    </xf>
    <xf numFmtId="38" fontId="66" fillId="3" borderId="2" xfId="7" applyNumberFormat="1" applyFont="1" applyFill="1" applyBorder="1" applyAlignment="1">
      <alignment horizontal="center" vertical="center"/>
    </xf>
    <xf numFmtId="38" fontId="66" fillId="3" borderId="6" xfId="7" applyNumberFormat="1" applyFont="1" applyFill="1" applyBorder="1" applyAlignment="1">
      <alignment horizontal="center" vertical="center"/>
    </xf>
    <xf numFmtId="38" fontId="66" fillId="3" borderId="5" xfId="7" applyNumberFormat="1" applyFont="1" applyFill="1" applyBorder="1" applyAlignment="1">
      <alignment horizontal="center" vertical="center"/>
    </xf>
    <xf numFmtId="38" fontId="66" fillId="3" borderId="3" xfId="7" applyNumberFormat="1" applyFont="1" applyFill="1" applyBorder="1" applyAlignment="1">
      <alignment horizontal="center" vertical="center"/>
    </xf>
    <xf numFmtId="38" fontId="66" fillId="3" borderId="8" xfId="7" applyNumberFormat="1" applyFont="1" applyFill="1" applyBorder="1" applyAlignment="1">
      <alignment horizontal="center" vertical="center"/>
    </xf>
    <xf numFmtId="0" fontId="48" fillId="3" borderId="20" xfId="6" applyFill="1" applyBorder="1" applyAlignment="1">
      <alignment horizontal="center" vertical="center"/>
    </xf>
    <xf numFmtId="0" fontId="65" fillId="3" borderId="18" xfId="6" applyFont="1" applyFill="1" applyBorder="1" applyAlignment="1">
      <alignment horizontal="center" vertical="center"/>
    </xf>
    <xf numFmtId="0" fontId="65" fillId="3" borderId="28" xfId="6" applyFont="1" applyFill="1" applyBorder="1" applyAlignment="1">
      <alignment horizontal="center" vertical="center"/>
    </xf>
    <xf numFmtId="0" fontId="65" fillId="3" borderId="19" xfId="6" applyFont="1" applyFill="1" applyBorder="1" applyAlignment="1">
      <alignment horizontal="center" vertical="center"/>
    </xf>
    <xf numFmtId="0" fontId="66" fillId="3" borderId="18" xfId="6" applyFont="1" applyFill="1" applyBorder="1" applyAlignment="1">
      <alignment horizontal="center" vertical="center"/>
    </xf>
    <xf numFmtId="0" fontId="66" fillId="3" borderId="28" xfId="6" applyFont="1" applyFill="1" applyBorder="1" applyAlignment="1">
      <alignment horizontal="center" vertical="center"/>
    </xf>
    <xf numFmtId="0" fontId="66" fillId="3" borderId="19" xfId="6" applyFont="1" applyFill="1" applyBorder="1" applyAlignment="1">
      <alignment horizontal="center" vertical="center"/>
    </xf>
    <xf numFmtId="0" fontId="48" fillId="13" borderId="47" xfId="6" applyFill="1" applyBorder="1" applyAlignment="1">
      <alignment horizontal="center" vertical="center"/>
    </xf>
    <xf numFmtId="0" fontId="48" fillId="13" borderId="29" xfId="6" applyFill="1" applyBorder="1" applyAlignment="1">
      <alignment horizontal="center" vertical="center"/>
    </xf>
    <xf numFmtId="0" fontId="48" fillId="13" borderId="30" xfId="6" applyFill="1" applyBorder="1" applyAlignment="1">
      <alignment horizontal="center" vertical="center"/>
    </xf>
    <xf numFmtId="0" fontId="48" fillId="13" borderId="48" xfId="6" applyFill="1" applyBorder="1" applyAlignment="1">
      <alignment horizontal="center" vertical="center"/>
    </xf>
    <xf numFmtId="0" fontId="48" fillId="3" borderId="18" xfId="6" applyFill="1" applyBorder="1" applyAlignment="1">
      <alignment horizontal="center" vertical="center"/>
    </xf>
    <xf numFmtId="0" fontId="48" fillId="3" borderId="28" xfId="6" applyFill="1" applyBorder="1" applyAlignment="1">
      <alignment horizontal="center" vertical="center"/>
    </xf>
    <xf numFmtId="0" fontId="48" fillId="3" borderId="19" xfId="6" applyFill="1" applyBorder="1" applyAlignment="1">
      <alignment horizontal="center" vertical="center"/>
    </xf>
    <xf numFmtId="38" fontId="0" fillId="3" borderId="18" xfId="7" applyNumberFormat="1" applyFont="1" applyFill="1" applyBorder="1" applyAlignment="1">
      <alignment horizontal="center" vertical="center"/>
    </xf>
    <xf numFmtId="38" fontId="0" fillId="3" borderId="28" xfId="7" applyNumberFormat="1" applyFont="1" applyFill="1" applyBorder="1" applyAlignment="1">
      <alignment horizontal="center" vertical="center"/>
    </xf>
    <xf numFmtId="38" fontId="0" fillId="3" borderId="19" xfId="7" applyNumberFormat="1" applyFont="1" applyFill="1" applyBorder="1" applyAlignment="1">
      <alignment horizontal="center" vertical="center"/>
    </xf>
    <xf numFmtId="0" fontId="48" fillId="3" borderId="23" xfId="6" applyFill="1" applyBorder="1" applyAlignment="1">
      <alignment horizontal="center" vertical="center"/>
    </xf>
    <xf numFmtId="0" fontId="48" fillId="13" borderId="43" xfId="6" applyFill="1" applyBorder="1" applyAlignment="1">
      <alignment horizontal="center" vertical="center"/>
    </xf>
    <xf numFmtId="0" fontId="48" fillId="13" borderId="44" xfId="6" applyFill="1" applyBorder="1" applyAlignment="1">
      <alignment horizontal="center" vertical="center"/>
    </xf>
    <xf numFmtId="0" fontId="48" fillId="13" borderId="45" xfId="6" applyFill="1" applyBorder="1" applyAlignment="1">
      <alignment horizontal="center" vertical="center"/>
    </xf>
    <xf numFmtId="0" fontId="48" fillId="13" borderId="20" xfId="6" applyFill="1" applyBorder="1" applyAlignment="1">
      <alignment horizontal="center" vertical="center"/>
    </xf>
    <xf numFmtId="0" fontId="48" fillId="3" borderId="46" xfId="6" applyFill="1" applyBorder="1" applyAlignment="1">
      <alignment horizontal="left" vertical="center"/>
    </xf>
    <xf numFmtId="0" fontId="48" fillId="3" borderId="14" xfId="6" applyFill="1" applyBorder="1" applyAlignment="1">
      <alignment horizontal="left" vertical="center"/>
    </xf>
    <xf numFmtId="0" fontId="48" fillId="3" borderId="27" xfId="6" applyFill="1" applyBorder="1" applyAlignment="1">
      <alignment horizontal="left" vertical="center"/>
    </xf>
    <xf numFmtId="38" fontId="0" fillId="12" borderId="1" xfId="7" applyNumberFormat="1" applyFont="1" applyFill="1" applyBorder="1" applyAlignment="1">
      <alignment horizontal="center" vertical="center"/>
    </xf>
    <xf numFmtId="38" fontId="0" fillId="12" borderId="2" xfId="7" applyNumberFormat="1" applyFont="1" applyFill="1" applyBorder="1" applyAlignment="1">
      <alignment horizontal="center" vertical="center"/>
    </xf>
    <xf numFmtId="38" fontId="0" fillId="12" borderId="6" xfId="7" applyNumberFormat="1" applyFont="1" applyFill="1" applyBorder="1" applyAlignment="1">
      <alignment horizontal="center" vertical="center"/>
    </xf>
    <xf numFmtId="38" fontId="0" fillId="12" borderId="20" xfId="7" applyNumberFormat="1" applyFont="1" applyFill="1" applyBorder="1" applyAlignment="1">
      <alignment horizontal="center" vertical="center"/>
    </xf>
    <xf numFmtId="0" fontId="48" fillId="3" borderId="1" xfId="6" applyFill="1" applyBorder="1" applyAlignment="1">
      <alignment horizontal="center" vertical="center"/>
    </xf>
    <xf numFmtId="0" fontId="48" fillId="3" borderId="2" xfId="6" applyFill="1" applyBorder="1" applyAlignment="1">
      <alignment horizontal="center" vertical="center"/>
    </xf>
    <xf numFmtId="0" fontId="48" fillId="3" borderId="6" xfId="6" applyFill="1" applyBorder="1" applyAlignment="1">
      <alignment horizontal="center" vertical="center"/>
    </xf>
    <xf numFmtId="3" fontId="0" fillId="12" borderId="23" xfId="7" applyNumberFormat="1" applyFont="1" applyFill="1" applyBorder="1" applyAlignment="1">
      <alignment horizontal="center" vertical="center"/>
    </xf>
    <xf numFmtId="38" fontId="0" fillId="12" borderId="23" xfId="7" applyNumberFormat="1" applyFont="1" applyFill="1" applyBorder="1" applyAlignment="1">
      <alignment horizontal="center" vertical="center"/>
    </xf>
    <xf numFmtId="38" fontId="0" fillId="12" borderId="18" xfId="7" applyNumberFormat="1" applyFont="1" applyFill="1" applyBorder="1" applyAlignment="1">
      <alignment horizontal="center" vertical="center"/>
    </xf>
    <xf numFmtId="38" fontId="0" fillId="12" borderId="28" xfId="7" applyNumberFormat="1" applyFont="1" applyFill="1" applyBorder="1" applyAlignment="1">
      <alignment horizontal="center" vertical="center"/>
    </xf>
    <xf numFmtId="38" fontId="0" fillId="12" borderId="19" xfId="7" applyNumberFormat="1" applyFont="1" applyFill="1" applyBorder="1" applyAlignment="1">
      <alignment horizontal="center" vertical="center"/>
    </xf>
    <xf numFmtId="0" fontId="48" fillId="12" borderId="18" xfId="6" applyFill="1" applyBorder="1" applyAlignment="1">
      <alignment horizontal="center" vertical="center"/>
    </xf>
    <xf numFmtId="0" fontId="48" fillId="12" borderId="28" xfId="6" applyFill="1" applyBorder="1" applyAlignment="1">
      <alignment horizontal="center" vertical="center"/>
    </xf>
    <xf numFmtId="0" fontId="48" fillId="12" borderId="19" xfId="6" applyFill="1" applyBorder="1" applyAlignment="1">
      <alignment horizontal="center" vertical="center"/>
    </xf>
    <xf numFmtId="17" fontId="48" fillId="12" borderId="18" xfId="6" applyNumberFormat="1" applyFill="1" applyBorder="1" applyAlignment="1">
      <alignment horizontal="center" vertical="center"/>
    </xf>
    <xf numFmtId="0" fontId="59" fillId="3" borderId="18" xfId="6" applyFont="1" applyFill="1" applyBorder="1" applyAlignment="1">
      <alignment horizontal="left" vertical="center"/>
    </xf>
    <xf numFmtId="0" fontId="59" fillId="3" borderId="28" xfId="6" applyFont="1" applyFill="1" applyBorder="1" applyAlignment="1">
      <alignment horizontal="left" vertical="center"/>
    </xf>
    <xf numFmtId="0" fontId="59" fillId="3" borderId="19" xfId="6" applyFont="1" applyFill="1" applyBorder="1" applyAlignment="1">
      <alignment horizontal="left" vertical="center"/>
    </xf>
    <xf numFmtId="0" fontId="49" fillId="2" borderId="31" xfId="6" applyFont="1" applyFill="1" applyBorder="1" applyAlignment="1">
      <alignment horizontal="left" vertical="center" wrapText="1"/>
    </xf>
    <xf numFmtId="0" fontId="49" fillId="2" borderId="32" xfId="6" applyFont="1" applyFill="1" applyBorder="1" applyAlignment="1">
      <alignment horizontal="left" vertical="center" wrapText="1"/>
    </xf>
    <xf numFmtId="0" fontId="49" fillId="2" borderId="33" xfId="6" applyFont="1" applyFill="1" applyBorder="1" applyAlignment="1">
      <alignment horizontal="left" vertical="center" wrapText="1"/>
    </xf>
    <xf numFmtId="0" fontId="49" fillId="2" borderId="35" xfId="6" applyFont="1" applyFill="1" applyBorder="1" applyAlignment="1">
      <alignment horizontal="left" vertical="center" wrapText="1"/>
    </xf>
    <xf numFmtId="0" fontId="49" fillId="2" borderId="0" xfId="6" applyFont="1" applyFill="1" applyAlignment="1">
      <alignment horizontal="left" vertical="center" wrapText="1"/>
    </xf>
    <xf numFmtId="0" fontId="49" fillId="2" borderId="36" xfId="6" applyFont="1" applyFill="1" applyBorder="1" applyAlignment="1">
      <alignment horizontal="left" vertical="center" wrapText="1"/>
    </xf>
    <xf numFmtId="0" fontId="49" fillId="2" borderId="37" xfId="6" applyFont="1" applyFill="1" applyBorder="1" applyAlignment="1">
      <alignment horizontal="left" vertical="center" wrapText="1"/>
    </xf>
    <xf numFmtId="0" fontId="49" fillId="2" borderId="38" xfId="6" applyFont="1" applyFill="1" applyBorder="1" applyAlignment="1">
      <alignment horizontal="left" vertical="center" wrapText="1"/>
    </xf>
    <xf numFmtId="0" fontId="49" fillId="2" borderId="39" xfId="6" applyFont="1" applyFill="1" applyBorder="1" applyAlignment="1">
      <alignment horizontal="left" vertical="center" wrapText="1"/>
    </xf>
    <xf numFmtId="15" fontId="48" fillId="12" borderId="34" xfId="6" quotePrefix="1" applyNumberFormat="1" applyFill="1" applyBorder="1" applyAlignment="1">
      <alignment horizontal="center" vertical="center"/>
    </xf>
    <xf numFmtId="38" fontId="48" fillId="3" borderId="40" xfId="6" applyNumberFormat="1" applyFill="1" applyBorder="1" applyAlignment="1">
      <alignment horizontal="center" vertical="center"/>
    </xf>
    <xf numFmtId="0" fontId="48" fillId="3" borderId="41" xfId="6" applyFill="1" applyBorder="1" applyAlignment="1">
      <alignment horizontal="center" vertical="center"/>
    </xf>
    <xf numFmtId="0" fontId="48" fillId="3" borderId="42" xfId="6" applyFill="1" applyBorder="1" applyAlignment="1">
      <alignment horizontal="center" vertical="center"/>
    </xf>
    <xf numFmtId="169" fontId="6" fillId="4" borderId="3" xfId="0" quotePrefix="1" applyNumberFormat="1"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11" fillId="4" borderId="2" xfId="0" applyFont="1" applyFill="1" applyBorder="1" applyAlignment="1">
      <alignment horizontal="center" vertical="top" wrapText="1"/>
    </xf>
    <xf numFmtId="0" fontId="11" fillId="4" borderId="6" xfId="0" applyFont="1" applyFill="1" applyBorder="1" applyAlignment="1">
      <alignment horizontal="center" vertical="top" wrapText="1"/>
    </xf>
    <xf numFmtId="0" fontId="11" fillId="4" borderId="3" xfId="0" applyFont="1" applyFill="1" applyBorder="1" applyAlignment="1">
      <alignment horizontal="center" vertical="top" wrapText="1"/>
    </xf>
    <xf numFmtId="0" fontId="11" fillId="4" borderId="8" xfId="0" applyFont="1" applyFill="1" applyBorder="1" applyAlignment="1">
      <alignment horizontal="center" vertical="top" wrapText="1"/>
    </xf>
    <xf numFmtId="0" fontId="6" fillId="0" borderId="3" xfId="0" applyFont="1" applyBorder="1" applyAlignment="1">
      <alignment horizontal="left" vertical="center"/>
    </xf>
    <xf numFmtId="0" fontId="6" fillId="4" borderId="4" xfId="0" applyFont="1" applyFill="1" applyBorder="1" applyAlignment="1">
      <alignment horizontal="left" vertical="top" wrapText="1"/>
    </xf>
    <xf numFmtId="3" fontId="10" fillId="4" borderId="5"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6" fillId="0" borderId="3" xfId="0" applyNumberFormat="1" applyFont="1" applyBorder="1" applyAlignment="1">
      <alignment horizontal="right" vertical="center"/>
    </xf>
    <xf numFmtId="0" fontId="6" fillId="0" borderId="2" xfId="0" applyFont="1" applyBorder="1" applyAlignment="1">
      <alignment horizontal="left" vertical="center"/>
    </xf>
    <xf numFmtId="0" fontId="9" fillId="4" borderId="4" xfId="0" applyFont="1" applyFill="1" applyBorder="1" applyAlignment="1">
      <alignment vertical="center" wrapText="1"/>
    </xf>
    <xf numFmtId="0" fontId="9" fillId="4" borderId="0" xfId="0" applyFont="1" applyFill="1" applyAlignment="1">
      <alignment vertical="center"/>
    </xf>
    <xf numFmtId="0" fontId="9" fillId="4" borderId="7" xfId="0" applyFont="1" applyFill="1" applyBorder="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0" fontId="9" fillId="4" borderId="3" xfId="0" applyFont="1" applyFill="1" applyBorder="1" applyAlignment="1">
      <alignment vertical="center"/>
    </xf>
    <xf numFmtId="0" fontId="9" fillId="4" borderId="8" xfId="0" applyFont="1" applyFill="1" applyBorder="1" applyAlignment="1">
      <alignment vertical="center"/>
    </xf>
    <xf numFmtId="0" fontId="9" fillId="4" borderId="4" xfId="0" applyFont="1" applyFill="1" applyBorder="1" applyAlignment="1">
      <alignment horizontal="left" vertical="top" wrapText="1"/>
    </xf>
    <xf numFmtId="0" fontId="9" fillId="4" borderId="0" xfId="0" applyFont="1" applyFill="1" applyAlignment="1">
      <alignment horizontal="left" vertical="top" wrapText="1"/>
    </xf>
    <xf numFmtId="0" fontId="9" fillId="4" borderId="7" xfId="0" applyFont="1" applyFill="1" applyBorder="1" applyAlignment="1">
      <alignment horizontal="left" vertical="top" wrapText="1"/>
    </xf>
    <xf numFmtId="0" fontId="9" fillId="4" borderId="5" xfId="0" applyFont="1" applyFill="1" applyBorder="1" applyAlignment="1">
      <alignment horizontal="left" vertical="top" wrapText="1"/>
    </xf>
    <xf numFmtId="0" fontId="9" fillId="4" borderId="3" xfId="0" applyFont="1" applyFill="1" applyBorder="1" applyAlignment="1">
      <alignment horizontal="left" vertical="top" wrapText="1"/>
    </xf>
    <xf numFmtId="0" fontId="9" fillId="4" borderId="8" xfId="0" applyFont="1" applyFill="1" applyBorder="1" applyAlignment="1">
      <alignment horizontal="left" vertical="top" wrapText="1"/>
    </xf>
    <xf numFmtId="0" fontId="31" fillId="4" borderId="13"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17" xfId="0" applyFont="1" applyFill="1" applyBorder="1" applyAlignment="1">
      <alignment horizontal="center" vertical="center"/>
    </xf>
    <xf numFmtId="0" fontId="8" fillId="4" borderId="13" xfId="0" applyFont="1" applyFill="1" applyBorder="1" applyAlignment="1">
      <alignment horizontal="center"/>
    </xf>
    <xf numFmtId="0" fontId="8" fillId="4" borderId="14" xfId="0" applyFont="1" applyFill="1" applyBorder="1" applyAlignment="1">
      <alignment horizontal="center"/>
    </xf>
    <xf numFmtId="0" fontId="8" fillId="4" borderId="17" xfId="0" applyFont="1" applyFill="1" applyBorder="1" applyAlignment="1">
      <alignment horizontal="center"/>
    </xf>
    <xf numFmtId="4" fontId="6" fillId="4" borderId="13" xfId="0" applyNumberFormat="1" applyFont="1" applyFill="1" applyBorder="1" applyAlignment="1">
      <alignment horizontal="right" vertical="center"/>
    </xf>
    <xf numFmtId="4" fontId="6" fillId="4" borderId="14" xfId="0" applyNumberFormat="1" applyFont="1" applyFill="1" applyBorder="1" applyAlignment="1">
      <alignment horizontal="right" vertical="center"/>
    </xf>
  </cellXfs>
  <cellStyles count="8">
    <cellStyle name="Comma" xfId="1" builtinId="3"/>
    <cellStyle name="Comma 2" xfId="2" xr:uid="{00000000-0005-0000-0000-000001000000}"/>
    <cellStyle name="Comma 3" xfId="5" xr:uid="{00000000-0005-0000-0000-000002000000}"/>
    <cellStyle name="Comma 4" xfId="7" xr:uid="{00000000-0005-0000-0000-000003000000}"/>
    <cellStyle name="Normal" xfId="0" builtinId="0"/>
    <cellStyle name="Normal 2" xfId="3" xr:uid="{00000000-0005-0000-0000-000005000000}"/>
    <cellStyle name="Normal 3" xfId="4" xr:uid="{00000000-0005-0000-0000-000006000000}"/>
    <cellStyle name="Normal 4" xfId="6"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00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0717200349956256E-2"/>
          <c:y val="4.7930698177887539E-2"/>
          <c:w val="0.69773522309711367"/>
          <c:h val="0.75931028886476626"/>
        </c:manualLayout>
      </c:layout>
      <c:barChart>
        <c:barDir val="col"/>
        <c:grouping val="stacked"/>
        <c:varyColors val="0"/>
        <c:ser>
          <c:idx val="0"/>
          <c:order val="0"/>
          <c:tx>
            <c:strRef>
              <c:f>'Pg3 budget Control Sheet'!$U$32</c:f>
              <c:strCache>
                <c:ptCount val="1"/>
                <c:pt idx="0">
                  <c:v>Machine,Jig(Result)</c:v>
                </c:pt>
              </c:strCache>
            </c:strRef>
          </c:tx>
          <c:spPr>
            <a:ln>
              <a:solidFill>
                <a:schemeClr val="tx1"/>
              </a:solidFill>
            </a:ln>
          </c:spPr>
          <c:invertIfNegative val="0"/>
          <c:dLbls>
            <c:spPr>
              <a:noFill/>
              <a:ln w="25400">
                <a:noFill/>
              </a:ln>
            </c:spPr>
            <c:txPr>
              <a:bodyPr/>
              <a:lstStyle/>
              <a:p>
                <a:pPr>
                  <a:defRPr sz="12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'Pg3 budget Control Sheet'!$V$31:$X$31</c:f>
              <c:strCache>
                <c:ptCount val="3"/>
                <c:pt idx="0">
                  <c:v>Annual plan</c:v>
                </c:pt>
                <c:pt idx="1">
                  <c:v>Application
amount</c:v>
                </c:pt>
                <c:pt idx="2">
                  <c:v>Result</c:v>
                </c:pt>
              </c:strCache>
            </c:strRef>
          </c:cat>
          <c:val>
            <c:numRef>
              <c:f>'Pg3 budget Control Sheet'!$V$32:$X$32</c:f>
              <c:numCache>
                <c:formatCode>#,##0</c:formatCode>
                <c:ptCount val="3"/>
                <c:pt idx="0">
                  <c:v>300</c:v>
                </c:pt>
                <c:pt idx="1">
                  <c:v>150</c:v>
                </c:pt>
                <c:pt idx="2">
                  <c:v>150</c:v>
                </c:pt>
              </c:numCache>
            </c:numRef>
          </c:val>
          <c:extLst>
            <c:ext xmlns:c16="http://schemas.microsoft.com/office/drawing/2014/chart" uri="{C3380CC4-5D6E-409C-BE32-E72D297353CC}">
              <c16:uniqueId val="{00000000-B1E1-4A89-A478-5A4275852073}"/>
            </c:ext>
          </c:extLst>
        </c:ser>
        <c:ser>
          <c:idx val="1"/>
          <c:order val="1"/>
          <c:tx>
            <c:strRef>
              <c:f>'Pg3 budget Control Sheet'!$U$33</c:f>
              <c:strCache>
                <c:ptCount val="1"/>
                <c:pt idx="0">
                  <c:v>Machine,Jig(prospect)</c:v>
                </c:pt>
              </c:strCache>
            </c:strRef>
          </c:tx>
          <c:spPr>
            <a:pattFill prst="ltUpDiag">
              <a:fgClr>
                <a:schemeClr val="accent1"/>
              </a:fgClr>
              <a:bgClr>
                <a:schemeClr val="bg1"/>
              </a:bgClr>
            </a:pattFill>
            <a:ln>
              <a:solidFill>
                <a:schemeClr val="tx1"/>
              </a:solidFill>
              <a:prstDash val="dash"/>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B1E1-4A89-A478-5A4275852073}"/>
                </c:ext>
              </c:extLst>
            </c:dLbl>
            <c:spPr>
              <a:noFill/>
              <a:ln w="25400">
                <a:noFill/>
              </a:ln>
            </c:spPr>
            <c:txPr>
              <a:bodyPr/>
              <a:lstStyle/>
              <a:p>
                <a:pPr>
                  <a:defRPr sz="12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'Pg3 budget Control Sheet'!$V$31:$X$31</c:f>
              <c:strCache>
                <c:ptCount val="3"/>
                <c:pt idx="0">
                  <c:v>Annual plan</c:v>
                </c:pt>
                <c:pt idx="1">
                  <c:v>Application
amount</c:v>
                </c:pt>
                <c:pt idx="2">
                  <c:v>Result</c:v>
                </c:pt>
              </c:strCache>
            </c:strRef>
          </c:cat>
          <c:val>
            <c:numRef>
              <c:f>'Pg3 budget Control Sheet'!$V$33:$X$33</c:f>
              <c:numCache>
                <c:formatCode>General</c:formatCode>
                <c:ptCount val="3"/>
                <c:pt idx="0">
                  <c:v>0</c:v>
                </c:pt>
                <c:pt idx="1">
                  <c:v>0</c:v>
                </c:pt>
                <c:pt idx="2" formatCode="#,##0">
                  <c:v>150</c:v>
                </c:pt>
              </c:numCache>
            </c:numRef>
          </c:val>
          <c:extLst>
            <c:ext xmlns:c16="http://schemas.microsoft.com/office/drawing/2014/chart" uri="{C3380CC4-5D6E-409C-BE32-E72D297353CC}">
              <c16:uniqueId val="{00000002-B1E1-4A89-A478-5A4275852073}"/>
            </c:ext>
          </c:extLst>
        </c:ser>
        <c:ser>
          <c:idx val="2"/>
          <c:order val="2"/>
          <c:tx>
            <c:strRef>
              <c:f>'Pg3 budget Control Sheet'!$U$34</c:f>
              <c:strCache>
                <c:ptCount val="1"/>
                <c:pt idx="0">
                  <c:v>Others(result)</c:v>
                </c:pt>
              </c:strCache>
            </c:strRef>
          </c:tx>
          <c:spPr>
            <a:solidFill>
              <a:schemeClr val="accent2">
                <a:lumMod val="60000"/>
                <a:lumOff val="40000"/>
              </a:schemeClr>
            </a:solidFill>
            <a:ln>
              <a:solidFill>
                <a:schemeClr val="tx1"/>
              </a:solidFill>
            </a:ln>
          </c:spPr>
          <c:invertIfNegative val="0"/>
          <c:dLbls>
            <c:spPr>
              <a:noFill/>
              <a:ln w="25400">
                <a:noFill/>
              </a:ln>
            </c:spPr>
            <c:txPr>
              <a:bodyPr/>
              <a:lstStyle/>
              <a:p>
                <a:pPr>
                  <a:defRPr sz="12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'Pg3 budget Control Sheet'!$V$31:$X$31</c:f>
              <c:strCache>
                <c:ptCount val="3"/>
                <c:pt idx="0">
                  <c:v>Annual plan</c:v>
                </c:pt>
                <c:pt idx="1">
                  <c:v>Application
amount</c:v>
                </c:pt>
                <c:pt idx="2">
                  <c:v>Result</c:v>
                </c:pt>
              </c:strCache>
            </c:strRef>
          </c:cat>
          <c:val>
            <c:numRef>
              <c:f>'Pg3 budget Control Sheet'!$V$34:$X$34</c:f>
              <c:numCache>
                <c:formatCode>#,##0</c:formatCode>
                <c:ptCount val="3"/>
                <c:pt idx="0">
                  <c:v>0</c:v>
                </c:pt>
                <c:pt idx="1">
                  <c:v>0</c:v>
                </c:pt>
                <c:pt idx="2">
                  <c:v>0</c:v>
                </c:pt>
              </c:numCache>
            </c:numRef>
          </c:val>
          <c:extLst>
            <c:ext xmlns:c16="http://schemas.microsoft.com/office/drawing/2014/chart" uri="{C3380CC4-5D6E-409C-BE32-E72D297353CC}">
              <c16:uniqueId val="{00000003-B1E1-4A89-A478-5A4275852073}"/>
            </c:ext>
          </c:extLst>
        </c:ser>
        <c:ser>
          <c:idx val="3"/>
          <c:order val="3"/>
          <c:tx>
            <c:strRef>
              <c:f>'Pg3 budget Control Sheet'!$U$35</c:f>
              <c:strCache>
                <c:ptCount val="1"/>
                <c:pt idx="0">
                  <c:v>Others(prospect)</c:v>
                </c:pt>
              </c:strCache>
            </c:strRef>
          </c:tx>
          <c:spPr>
            <a:pattFill prst="ltUpDiag">
              <a:fgClr>
                <a:schemeClr val="accent2">
                  <a:lumMod val="60000"/>
                  <a:lumOff val="40000"/>
                </a:schemeClr>
              </a:fgClr>
              <a:bgClr>
                <a:schemeClr val="bg1"/>
              </a:bgClr>
            </a:pattFill>
            <a:ln>
              <a:solidFill>
                <a:schemeClr val="tx1"/>
              </a:solidFill>
              <a:prstDash val="dash"/>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B1E1-4A89-A478-5A4275852073}"/>
                </c:ext>
              </c:extLst>
            </c:dLbl>
            <c:spPr>
              <a:noFill/>
              <a:ln w="25400">
                <a:noFill/>
              </a:ln>
            </c:spPr>
            <c:txPr>
              <a:bodyPr/>
              <a:lstStyle/>
              <a:p>
                <a:pPr>
                  <a:defRPr sz="12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'Pg3 budget Control Sheet'!$V$31:$X$31</c:f>
              <c:strCache>
                <c:ptCount val="3"/>
                <c:pt idx="0">
                  <c:v>Annual plan</c:v>
                </c:pt>
                <c:pt idx="1">
                  <c:v>Application
amount</c:v>
                </c:pt>
                <c:pt idx="2">
                  <c:v>Result</c:v>
                </c:pt>
              </c:strCache>
            </c:strRef>
          </c:cat>
          <c:val>
            <c:numRef>
              <c:f>'Pg3 budget Control Sheet'!$V$35:$X$35</c:f>
              <c:numCache>
                <c:formatCode>General</c:formatCode>
                <c:ptCount val="3"/>
                <c:pt idx="0">
                  <c:v>0</c:v>
                </c:pt>
                <c:pt idx="1">
                  <c:v>0</c:v>
                </c:pt>
                <c:pt idx="2" formatCode="#,##0">
                  <c:v>0</c:v>
                </c:pt>
              </c:numCache>
            </c:numRef>
          </c:val>
          <c:extLst>
            <c:ext xmlns:c16="http://schemas.microsoft.com/office/drawing/2014/chart" uri="{C3380CC4-5D6E-409C-BE32-E72D297353CC}">
              <c16:uniqueId val="{00000005-B1E1-4A89-A478-5A4275852073}"/>
            </c:ext>
          </c:extLst>
        </c:ser>
        <c:dLbls>
          <c:showLegendKey val="0"/>
          <c:showVal val="0"/>
          <c:showCatName val="0"/>
          <c:showSerName val="0"/>
          <c:showPercent val="0"/>
          <c:showBubbleSize val="0"/>
        </c:dLbls>
        <c:gapWidth val="150"/>
        <c:overlap val="100"/>
        <c:axId val="89705088"/>
        <c:axId val="89588096"/>
      </c:barChart>
      <c:catAx>
        <c:axId val="89705088"/>
        <c:scaling>
          <c:orientation val="minMax"/>
        </c:scaling>
        <c:delete val="0"/>
        <c:axPos val="b"/>
        <c:numFmt formatCode="General" sourceLinked="1"/>
        <c:majorTickMark val="out"/>
        <c:minorTickMark val="none"/>
        <c:tickLblPos val="nextTo"/>
        <c:txPr>
          <a:bodyPr/>
          <a:lstStyle/>
          <a:p>
            <a:pPr>
              <a:defRPr sz="1400"/>
            </a:pPr>
            <a:endParaRPr lang="en-US"/>
          </a:p>
        </c:txPr>
        <c:crossAx val="89588096"/>
        <c:crosses val="autoZero"/>
        <c:auto val="1"/>
        <c:lblAlgn val="ctr"/>
        <c:lblOffset val="100"/>
        <c:noMultiLvlLbl val="0"/>
      </c:catAx>
      <c:valAx>
        <c:axId val="89588096"/>
        <c:scaling>
          <c:orientation val="minMax"/>
        </c:scaling>
        <c:delete val="0"/>
        <c:axPos val="l"/>
        <c:majorGridlines/>
        <c:numFmt formatCode="#,##0" sourceLinked="1"/>
        <c:majorTickMark val="out"/>
        <c:minorTickMark val="none"/>
        <c:tickLblPos val="nextTo"/>
        <c:txPr>
          <a:bodyPr/>
          <a:lstStyle/>
          <a:p>
            <a:pPr>
              <a:defRPr sz="1200"/>
            </a:pPr>
            <a:endParaRPr lang="en-US"/>
          </a:p>
        </c:txPr>
        <c:crossAx val="89705088"/>
        <c:crosses val="autoZero"/>
        <c:crossBetween val="between"/>
      </c:valAx>
    </c:plotArea>
    <c:legend>
      <c:legendPos val="r"/>
      <c:layout>
        <c:manualLayout>
          <c:xMode val="edge"/>
          <c:yMode val="edge"/>
          <c:x val="0.7787081339712919"/>
          <c:y val="0.35294168333766562"/>
          <c:w val="0.20215311004784689"/>
          <c:h val="0.32058869569837961"/>
        </c:manualLayout>
      </c:layout>
      <c:overlay val="0"/>
      <c:spPr>
        <a:solidFill>
          <a:schemeClr val="bg1"/>
        </a:solidFill>
      </c:spPr>
      <c:txPr>
        <a:bodyPr/>
        <a:lstStyle/>
        <a:p>
          <a:pPr>
            <a:defRPr sz="1200"/>
          </a:pPr>
          <a:endParaRPr lang="en-US"/>
        </a:p>
      </c:txPr>
    </c:legend>
    <c:plotVisOnly val="1"/>
    <c:dispBlanksAs val="gap"/>
    <c:showDLblsOverMax val="0"/>
  </c:chart>
  <c:printSettings>
    <c:headerFooter/>
    <c:pageMargins b="0.75000000000000089" l="0.70000000000000062" r="0.70000000000000062" t="0.75000000000000089"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Load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Sheet1!$B$2:$B$6</c:f>
              <c:strCache>
                <c:ptCount val="5"/>
                <c:pt idx="0">
                  <c:v>TL1</c:v>
                </c:pt>
                <c:pt idx="1">
                  <c:v>TL2</c:v>
                </c:pt>
                <c:pt idx="2">
                  <c:v>TL3</c:v>
                </c:pt>
                <c:pt idx="3">
                  <c:v>TL4</c:v>
                </c:pt>
                <c:pt idx="4">
                  <c:v>TL5</c:v>
                </c:pt>
              </c:strCache>
            </c:strRef>
          </c:cat>
          <c:val>
            <c:numRef>
              <c:f>Sheet1!$C$2:$C$6</c:f>
              <c:numCache>
                <c:formatCode>General</c:formatCode>
                <c:ptCount val="5"/>
                <c:pt idx="0">
                  <c:v>45</c:v>
                </c:pt>
                <c:pt idx="1">
                  <c:v>44</c:v>
                </c:pt>
                <c:pt idx="2">
                  <c:v>46</c:v>
                </c:pt>
                <c:pt idx="3">
                  <c:v>43</c:v>
                </c:pt>
                <c:pt idx="4">
                  <c:v>44</c:v>
                </c:pt>
              </c:numCache>
            </c:numRef>
          </c:val>
          <c:extLst>
            <c:ext xmlns:c16="http://schemas.microsoft.com/office/drawing/2014/chart" uri="{C3380CC4-5D6E-409C-BE32-E72D297353CC}">
              <c16:uniqueId val="{00000000-EA23-40AC-A345-E125187DE75D}"/>
            </c:ext>
          </c:extLst>
        </c:ser>
        <c:dLbls>
          <c:showLegendKey val="0"/>
          <c:showVal val="0"/>
          <c:showCatName val="0"/>
          <c:showSerName val="0"/>
          <c:showPercent val="0"/>
          <c:showBubbleSize val="0"/>
        </c:dLbls>
        <c:gapWidth val="219"/>
        <c:overlap val="-27"/>
        <c:axId val="318072512"/>
        <c:axId val="318081040"/>
      </c:barChart>
      <c:catAx>
        <c:axId val="31807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81040"/>
        <c:crosses val="autoZero"/>
        <c:auto val="1"/>
        <c:lblAlgn val="ctr"/>
        <c:lblOffset val="100"/>
        <c:noMultiLvlLbl val="0"/>
      </c:catAx>
      <c:valAx>
        <c:axId val="31808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72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Ref. infrm'!$AA$6" lockText="1"/>
</file>

<file path=xl/ctrlProps/ctrlProp2.xml><?xml version="1.0" encoding="utf-8"?>
<formControlPr xmlns="http://schemas.microsoft.com/office/spreadsheetml/2009/9/main" objectType="CheckBox" fmlaLink="'Ref. infrm'!$AA$7" lockText="1"/>
</file>

<file path=xl/ctrlProps/ctrlProp3.xml><?xml version="1.0" encoding="utf-8"?>
<formControlPr xmlns="http://schemas.microsoft.com/office/spreadsheetml/2009/9/main" objectType="CheckBox" fmlaLink="'Ref. infrm'!$AA$18" lockText="1"/>
</file>

<file path=xl/ctrlProps/ctrlProp4.xml><?xml version="1.0" encoding="utf-8"?>
<formControlPr xmlns="http://schemas.microsoft.com/office/spreadsheetml/2009/9/main" objectType="CheckBox" fmlaLink="'Ref. infrm'!$AA$19" lockText="1"/>
</file>

<file path=xl/ctrlProps/ctrlProp5.xml><?xml version="1.0" encoding="utf-8"?>
<formControlPr xmlns="http://schemas.microsoft.com/office/spreadsheetml/2009/9/main" objectType="CheckBox" fmlaLink="'Ref. infrm'!$AA$20" lockText="1"/>
</file>

<file path=xl/ctrlProps/ctrlProp6.xml><?xml version="1.0" encoding="utf-8"?>
<formControlPr xmlns="http://schemas.microsoft.com/office/spreadsheetml/2009/9/main" objectType="CheckBox" checked="Checked" fmlaLink="'Ref. infrm'!$AA$4" lockText="1"/>
</file>

<file path=xl/ctrlProps/ctrlProp7.xml><?xml version="1.0" encoding="utf-8"?>
<formControlPr xmlns="http://schemas.microsoft.com/office/spreadsheetml/2009/9/main" objectType="CheckBox" fmlaLink="'Ref. infrm'!$AA$5" lockText="1"/>
</file>

<file path=xl/ctrlProps/ctrlProp8.xml><?xml version="1.0" encoding="utf-8"?>
<formControlPr xmlns="http://schemas.microsoft.com/office/spreadsheetml/2009/9/main" objectType="CheckBox" fmlaLink="'Ref. infrm'!$AA$13" lockText="1"/>
</file>

<file path=xl/ctrlProps/ctrlProp9.xml><?xml version="1.0" encoding="utf-8"?>
<formControlPr xmlns="http://schemas.microsoft.com/office/spreadsheetml/2009/9/main" objectType="CheckBox" fmlaLink="'Ref. infrm'!$AA$14" lockText="1"/>
</file>

<file path=xl/ctrlProps/ctrlProp10.xml><?xml version="1.0" encoding="utf-8"?>
<formControlPr xmlns="http://schemas.microsoft.com/office/spreadsheetml/2009/9/main" objectType="CheckBox" checked="Checked" fmlaLink="'Ref. infrm'!$AA$15" lockText="1"/>
</file>

<file path=xl/ctrlProps/ctrlProp11.xml><?xml version="1.0" encoding="utf-8"?>
<formControlPr xmlns="http://schemas.microsoft.com/office/spreadsheetml/2009/9/main" objectType="CheckBox" fmlaLink="'Ref. infrm'!#REF!" lockText="1"/>
</file>

<file path=xl/ctrlProps/ctrlProp12.xml><?xml version="1.0" encoding="utf-8"?>
<formControlPr xmlns="http://schemas.microsoft.com/office/spreadsheetml/2009/9/main" objectType="CheckBox" fmlaLink="'Ref. infrm'!$AA$21" lockText="1"/>
</file>

<file path=xl/ctrlProps/ctrlProp13.xml><?xml version="1.0" encoding="utf-8"?>
<formControlPr xmlns="http://schemas.microsoft.com/office/spreadsheetml/2009/9/main" objectType="CheckBox" fmlaLink="'Ref. infrm'!#REF!" lockText="1"/>
</file>

<file path=xl/ctrlProps/ctrlProp14.xml><?xml version="1.0" encoding="utf-8"?>
<formControlPr xmlns="http://schemas.microsoft.com/office/spreadsheetml/2009/9/main" objectType="CheckBox" fmlaLink="'Ref. infrm'!#REF!" lockText="1"/>
</file>

<file path=xl/ctrlProps/ctrlProp15.xml><?xml version="1.0" encoding="utf-8"?>
<formControlPr xmlns="http://schemas.microsoft.com/office/spreadsheetml/2009/9/main" objectType="CheckBox" fmlaLink="'Ref. infrm'!$AA$6" lockText="1"/>
</file>

<file path=xl/ctrlProps/ctrlProp16.xml><?xml version="1.0" encoding="utf-8"?>
<formControlPr xmlns="http://schemas.microsoft.com/office/spreadsheetml/2009/9/main" objectType="CheckBox" checked="Checked" fmlaLink="'Ref. infrm'!$AA$15" lockText="1"/>
</file>

<file path=xl/ctrlProps/ctrlProp17.xml><?xml version="1.0" encoding="utf-8"?>
<formControlPr xmlns="http://schemas.microsoft.com/office/spreadsheetml/2009/9/main" objectType="CheckBox" fmlaLink="'[1]Ref. infrm'!$AA$6" lockText="1"/>
</file>

<file path=xl/ctrlProps/ctrlProp18.xml><?xml version="1.0" encoding="utf-8"?>
<formControlPr xmlns="http://schemas.microsoft.com/office/spreadsheetml/2009/9/main" objectType="CheckBox" checked="Checked" fmlaLink="'[1]Ref. infrm'!$AA$7" lockText="1"/>
</file>

<file path=xl/ctrlProps/ctrlProp19.xml><?xml version="1.0" encoding="utf-8"?>
<formControlPr xmlns="http://schemas.microsoft.com/office/spreadsheetml/2009/9/main" objectType="CheckBox" fmlaLink="'[1]Ref. infrm'!$AA$18" lockText="1"/>
</file>

<file path=xl/ctrlProps/ctrlProp20.xml><?xml version="1.0" encoding="utf-8"?>
<formControlPr xmlns="http://schemas.microsoft.com/office/spreadsheetml/2009/9/main" objectType="CheckBox" fmlaLink="'[1]Ref. infrm'!$AA$19" lockText="1"/>
</file>

<file path=xl/ctrlProps/ctrlProp21.xml><?xml version="1.0" encoding="utf-8"?>
<formControlPr xmlns="http://schemas.microsoft.com/office/spreadsheetml/2009/9/main" objectType="CheckBox" checked="Checked" fmlaLink="'[1]Ref. infrm'!$AA$20" lockText="1"/>
</file>

<file path=xl/ctrlProps/ctrlProp22.xml><?xml version="1.0" encoding="utf-8"?>
<formControlPr xmlns="http://schemas.microsoft.com/office/spreadsheetml/2009/9/main" objectType="CheckBox" fmlaLink="'[1]Ref. infrm'!$AA$4" lockText="1"/>
</file>

<file path=xl/ctrlProps/ctrlProp23.xml><?xml version="1.0" encoding="utf-8"?>
<formControlPr xmlns="http://schemas.microsoft.com/office/spreadsheetml/2009/9/main" objectType="CheckBox" checked="Checked" fmlaLink="'[1]Ref. infrm'!$AA$5" lockText="1"/>
</file>

<file path=xl/ctrlProps/ctrlProp24.xml><?xml version="1.0" encoding="utf-8"?>
<formControlPr xmlns="http://schemas.microsoft.com/office/spreadsheetml/2009/9/main" objectType="CheckBox" fmlaLink="'[1]Ref. infrm'!$AA$13" lockText="1"/>
</file>

<file path=xl/ctrlProps/ctrlProp25.xml><?xml version="1.0" encoding="utf-8"?>
<formControlPr xmlns="http://schemas.microsoft.com/office/spreadsheetml/2009/9/main" objectType="CheckBox" fmlaLink="'[1]Ref. infrm'!$AA$14" lockText="1"/>
</file>

<file path=xl/ctrlProps/ctrlProp26.xml><?xml version="1.0" encoding="utf-8"?>
<formControlPr xmlns="http://schemas.microsoft.com/office/spreadsheetml/2009/9/main" objectType="CheckBox" checked="Checked" fmlaLink="'[1]Ref. infrm'!$AA$15" lockText="1"/>
</file>

<file path=xl/ctrlProps/ctrlProp27.xml><?xml version="1.0" encoding="utf-8"?>
<formControlPr xmlns="http://schemas.microsoft.com/office/spreadsheetml/2009/9/main" objectType="CheckBox" fmlaLink="'[1]Ref. infrm'!#REF!" lockText="1"/>
</file>

<file path=xl/ctrlProps/ctrlProp28.xml><?xml version="1.0" encoding="utf-8"?>
<formControlPr xmlns="http://schemas.microsoft.com/office/spreadsheetml/2009/9/main" objectType="CheckBox" fmlaLink="'[1]Ref. infrm'!$AA$21" lockText="1"/>
</file>

<file path=xl/ctrlProps/ctrlProp29.xml><?xml version="1.0" encoding="utf-8"?>
<formControlPr xmlns="http://schemas.microsoft.com/office/spreadsheetml/2009/9/main" objectType="CheckBox" fmlaLink="'[1]Ref. infrm'!#REF!" lockText="1"/>
</file>

<file path=xl/ctrlProps/ctrlProp30.xml><?xml version="1.0" encoding="utf-8"?>
<formControlPr xmlns="http://schemas.microsoft.com/office/spreadsheetml/2009/9/main" objectType="CheckBox" fmlaLink="'[1]Ref. infrm'!#REF!" lockText="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161925</xdr:colOff>
      <xdr:row>51</xdr:row>
      <xdr:rowOff>9525</xdr:rowOff>
    </xdr:from>
    <xdr:to>
      <xdr:col>1</xdr:col>
      <xdr:colOff>161925</xdr:colOff>
      <xdr:row>53</xdr:row>
      <xdr:rowOff>104775</xdr:rowOff>
    </xdr:to>
    <xdr:sp macro="" textlink="">
      <xdr:nvSpPr>
        <xdr:cNvPr id="7221" name="Line 40">
          <a:extLst>
            <a:ext uri="{FF2B5EF4-FFF2-40B4-BE49-F238E27FC236}">
              <a16:creationId xmlns:a16="http://schemas.microsoft.com/office/drawing/2014/main" id="{00000000-0008-0000-0100-0000351C0000}"/>
            </a:ext>
          </a:extLst>
        </xdr:cNvPr>
        <xdr:cNvSpPr>
          <a:spLocks noChangeShapeType="1"/>
        </xdr:cNvSpPr>
      </xdr:nvSpPr>
      <xdr:spPr bwMode="auto">
        <a:xfrm flipH="1">
          <a:off x="438150" y="9191625"/>
          <a:ext cx="0" cy="438150"/>
        </a:xfrm>
        <a:prstGeom prst="line">
          <a:avLst/>
        </a:prstGeom>
        <a:noFill/>
        <a:ln w="9525">
          <a:solidFill>
            <a:srgbClr val="000000"/>
          </a:solidFill>
          <a:round/>
          <a:headEnd/>
          <a:tailEnd/>
        </a:ln>
      </xdr:spPr>
    </xdr:sp>
    <xdr:clientData/>
  </xdr:twoCellAnchor>
  <xdr:twoCellAnchor>
    <xdr:from>
      <xdr:col>1</xdr:col>
      <xdr:colOff>161925</xdr:colOff>
      <xdr:row>51</xdr:row>
      <xdr:rowOff>104775</xdr:rowOff>
    </xdr:from>
    <xdr:to>
      <xdr:col>1</xdr:col>
      <xdr:colOff>266700</xdr:colOff>
      <xdr:row>51</xdr:row>
      <xdr:rowOff>104775</xdr:rowOff>
    </xdr:to>
    <xdr:sp macro="" textlink="">
      <xdr:nvSpPr>
        <xdr:cNvPr id="7222" name="Line 41">
          <a:extLst>
            <a:ext uri="{FF2B5EF4-FFF2-40B4-BE49-F238E27FC236}">
              <a16:creationId xmlns:a16="http://schemas.microsoft.com/office/drawing/2014/main" id="{00000000-0008-0000-0100-0000361C0000}"/>
            </a:ext>
          </a:extLst>
        </xdr:cNvPr>
        <xdr:cNvSpPr>
          <a:spLocks noChangeShapeType="1"/>
        </xdr:cNvSpPr>
      </xdr:nvSpPr>
      <xdr:spPr bwMode="auto">
        <a:xfrm>
          <a:off x="438150" y="9286875"/>
          <a:ext cx="104775" cy="0"/>
        </a:xfrm>
        <a:prstGeom prst="line">
          <a:avLst/>
        </a:prstGeom>
        <a:noFill/>
        <a:ln w="9525">
          <a:solidFill>
            <a:srgbClr val="000000"/>
          </a:solidFill>
          <a:round/>
          <a:headEnd/>
          <a:tailEnd/>
        </a:ln>
      </xdr:spPr>
    </xdr:sp>
    <xdr:clientData/>
  </xdr:twoCellAnchor>
  <xdr:twoCellAnchor>
    <xdr:from>
      <xdr:col>1</xdr:col>
      <xdr:colOff>161925</xdr:colOff>
      <xdr:row>52</xdr:row>
      <xdr:rowOff>104775</xdr:rowOff>
    </xdr:from>
    <xdr:to>
      <xdr:col>1</xdr:col>
      <xdr:colOff>266700</xdr:colOff>
      <xdr:row>52</xdr:row>
      <xdr:rowOff>104775</xdr:rowOff>
    </xdr:to>
    <xdr:sp macro="" textlink="">
      <xdr:nvSpPr>
        <xdr:cNvPr id="7223" name="Line 42">
          <a:extLst>
            <a:ext uri="{FF2B5EF4-FFF2-40B4-BE49-F238E27FC236}">
              <a16:creationId xmlns:a16="http://schemas.microsoft.com/office/drawing/2014/main" id="{00000000-0008-0000-0100-0000371C0000}"/>
            </a:ext>
          </a:extLst>
        </xdr:cNvPr>
        <xdr:cNvSpPr>
          <a:spLocks noChangeShapeType="1"/>
        </xdr:cNvSpPr>
      </xdr:nvSpPr>
      <xdr:spPr bwMode="auto">
        <a:xfrm>
          <a:off x="438150" y="9458325"/>
          <a:ext cx="104775" cy="0"/>
        </a:xfrm>
        <a:prstGeom prst="line">
          <a:avLst/>
        </a:prstGeom>
        <a:noFill/>
        <a:ln w="9525">
          <a:solidFill>
            <a:srgbClr val="000000"/>
          </a:solidFill>
          <a:round/>
          <a:headEnd/>
          <a:tailEnd/>
        </a:ln>
      </xdr:spPr>
    </xdr:sp>
    <xdr:clientData/>
  </xdr:twoCellAnchor>
  <xdr:twoCellAnchor>
    <xdr:from>
      <xdr:col>1</xdr:col>
      <xdr:colOff>161925</xdr:colOff>
      <xdr:row>53</xdr:row>
      <xdr:rowOff>104775</xdr:rowOff>
    </xdr:from>
    <xdr:to>
      <xdr:col>1</xdr:col>
      <xdr:colOff>266700</xdr:colOff>
      <xdr:row>53</xdr:row>
      <xdr:rowOff>104775</xdr:rowOff>
    </xdr:to>
    <xdr:sp macro="" textlink="">
      <xdr:nvSpPr>
        <xdr:cNvPr id="7224" name="Line 43">
          <a:extLst>
            <a:ext uri="{FF2B5EF4-FFF2-40B4-BE49-F238E27FC236}">
              <a16:creationId xmlns:a16="http://schemas.microsoft.com/office/drawing/2014/main" id="{00000000-0008-0000-0100-0000381C0000}"/>
            </a:ext>
          </a:extLst>
        </xdr:cNvPr>
        <xdr:cNvSpPr>
          <a:spLocks noChangeShapeType="1"/>
        </xdr:cNvSpPr>
      </xdr:nvSpPr>
      <xdr:spPr bwMode="auto">
        <a:xfrm>
          <a:off x="438150" y="9629775"/>
          <a:ext cx="104775" cy="0"/>
        </a:xfrm>
        <a:prstGeom prst="line">
          <a:avLst/>
        </a:prstGeom>
        <a:noFill/>
        <a:ln w="9525">
          <a:solidFill>
            <a:srgbClr val="000000"/>
          </a:solidFill>
          <a:round/>
          <a:headEnd/>
          <a:tailEnd/>
        </a:ln>
      </xdr:spPr>
    </xdr:sp>
    <xdr:clientData/>
  </xdr:twoCellAnchor>
  <xdr:twoCellAnchor>
    <xdr:from>
      <xdr:col>6</xdr:col>
      <xdr:colOff>0</xdr:colOff>
      <xdr:row>46</xdr:row>
      <xdr:rowOff>0</xdr:rowOff>
    </xdr:from>
    <xdr:to>
      <xdr:col>7</xdr:col>
      <xdr:colOff>0</xdr:colOff>
      <xdr:row>48</xdr:row>
      <xdr:rowOff>0</xdr:rowOff>
    </xdr:to>
    <xdr:sp macro="" textlink="">
      <xdr:nvSpPr>
        <xdr:cNvPr id="40" name="テキスト 44">
          <a:extLst>
            <a:ext uri="{FF2B5EF4-FFF2-40B4-BE49-F238E27FC236}">
              <a16:creationId xmlns:a16="http://schemas.microsoft.com/office/drawing/2014/main" id="{00000000-0008-0000-0100-000028000000}"/>
            </a:ext>
          </a:extLst>
        </xdr:cNvPr>
        <xdr:cNvSpPr txBox="1">
          <a:spLocks noChangeArrowheads="1"/>
        </xdr:cNvSpPr>
      </xdr:nvSpPr>
      <xdr:spPr bwMode="auto">
        <a:xfrm>
          <a:off x="1800225" y="8277225"/>
          <a:ext cx="276225" cy="342900"/>
        </a:xfrm>
        <a:prstGeom prst="rect">
          <a:avLst/>
        </a:prstGeom>
        <a:noFill/>
        <a:ln>
          <a:noFill/>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ゴシック"/>
              <a:ea typeface="ＭＳ Ｐゴシック"/>
            </a:rPr>
            <a:t>＝</a:t>
          </a:r>
        </a:p>
      </xdr:txBody>
    </xdr:sp>
    <xdr:clientData/>
  </xdr:twoCellAnchor>
  <xdr:twoCellAnchor>
    <xdr:from>
      <xdr:col>1</xdr:col>
      <xdr:colOff>170793</xdr:colOff>
      <xdr:row>0</xdr:row>
      <xdr:rowOff>78827</xdr:rowOff>
    </xdr:from>
    <xdr:to>
      <xdr:col>4</xdr:col>
      <xdr:colOff>256518</xdr:colOff>
      <xdr:row>3</xdr:row>
      <xdr:rowOff>38100</xdr:rowOff>
    </xdr:to>
    <xdr:pic>
      <xdr:nvPicPr>
        <xdr:cNvPr id="7226" name="Picture 57" descr="DENSO_RED_734mm_RGB_72dpi">
          <a:extLst>
            <a:ext uri="{FF2B5EF4-FFF2-40B4-BE49-F238E27FC236}">
              <a16:creationId xmlns:a16="http://schemas.microsoft.com/office/drawing/2014/main" id="{00000000-0008-0000-0100-00003A1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92672" y="78827"/>
          <a:ext cx="959398" cy="248307"/>
        </a:xfrm>
        <a:prstGeom prst="rect">
          <a:avLst/>
        </a:prstGeom>
        <a:noFill/>
        <a:ln w="9525">
          <a:noFill/>
          <a:miter lim="800000"/>
          <a:headEnd/>
          <a:tailEnd/>
        </a:ln>
      </xdr:spPr>
    </xdr:pic>
    <xdr:clientData/>
  </xdr:twoCellAnchor>
  <xdr:twoCellAnchor>
    <xdr:from>
      <xdr:col>5</xdr:col>
      <xdr:colOff>38100</xdr:colOff>
      <xdr:row>51</xdr:row>
      <xdr:rowOff>85725</xdr:rowOff>
    </xdr:from>
    <xdr:to>
      <xdr:col>5</xdr:col>
      <xdr:colOff>209550</xdr:colOff>
      <xdr:row>51</xdr:row>
      <xdr:rowOff>85725</xdr:rowOff>
    </xdr:to>
    <xdr:cxnSp macro="">
      <xdr:nvCxnSpPr>
        <xdr:cNvPr id="7227" name="Straight Arrow Connector 2">
          <a:extLst>
            <a:ext uri="{FF2B5EF4-FFF2-40B4-BE49-F238E27FC236}">
              <a16:creationId xmlns:a16="http://schemas.microsoft.com/office/drawing/2014/main" id="{00000000-0008-0000-0100-00003B1C0000}"/>
            </a:ext>
          </a:extLst>
        </xdr:cNvPr>
        <xdr:cNvCxnSpPr>
          <a:cxnSpLocks noChangeShapeType="1"/>
        </xdr:cNvCxnSpPr>
      </xdr:nvCxnSpPr>
      <xdr:spPr bwMode="auto">
        <a:xfrm>
          <a:off x="1419225" y="9267825"/>
          <a:ext cx="171450" cy="0"/>
        </a:xfrm>
        <a:prstGeom prst="straightConnector1">
          <a:avLst/>
        </a:prstGeom>
        <a:noFill/>
        <a:ln w="9525" algn="ctr">
          <a:solidFill>
            <a:srgbClr val="000000"/>
          </a:solidFill>
          <a:round/>
          <a:headEnd/>
          <a:tailEnd type="arrow" w="med" len="med"/>
        </a:ln>
      </xdr:spPr>
    </xdr:cxnSp>
    <xdr:clientData/>
  </xdr:twoCellAnchor>
  <xdr:twoCellAnchor>
    <xdr:from>
      <xdr:col>16</xdr:col>
      <xdr:colOff>95250</xdr:colOff>
      <xdr:row>46</xdr:row>
      <xdr:rowOff>85725</xdr:rowOff>
    </xdr:from>
    <xdr:to>
      <xdr:col>16</xdr:col>
      <xdr:colOff>266700</xdr:colOff>
      <xdr:row>46</xdr:row>
      <xdr:rowOff>85725</xdr:rowOff>
    </xdr:to>
    <xdr:cxnSp macro="">
      <xdr:nvCxnSpPr>
        <xdr:cNvPr id="7228" name="Straight Arrow Connector 74">
          <a:extLst>
            <a:ext uri="{FF2B5EF4-FFF2-40B4-BE49-F238E27FC236}">
              <a16:creationId xmlns:a16="http://schemas.microsoft.com/office/drawing/2014/main" id="{00000000-0008-0000-0100-00003C1C0000}"/>
            </a:ext>
          </a:extLst>
        </xdr:cNvPr>
        <xdr:cNvCxnSpPr>
          <a:cxnSpLocks noChangeShapeType="1"/>
        </xdr:cNvCxnSpPr>
      </xdr:nvCxnSpPr>
      <xdr:spPr bwMode="auto">
        <a:xfrm flipH="1">
          <a:off x="4514850" y="842962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52</xdr:row>
      <xdr:rowOff>85725</xdr:rowOff>
    </xdr:from>
    <xdr:to>
      <xdr:col>12</xdr:col>
      <xdr:colOff>209550</xdr:colOff>
      <xdr:row>52</xdr:row>
      <xdr:rowOff>85725</xdr:rowOff>
    </xdr:to>
    <xdr:cxnSp macro="">
      <xdr:nvCxnSpPr>
        <xdr:cNvPr id="7229" name="Straight Arrow Connector 75">
          <a:extLst>
            <a:ext uri="{FF2B5EF4-FFF2-40B4-BE49-F238E27FC236}">
              <a16:creationId xmlns:a16="http://schemas.microsoft.com/office/drawing/2014/main" id="{00000000-0008-0000-0100-00003D1C0000}"/>
            </a:ext>
          </a:extLst>
        </xdr:cNvPr>
        <xdr:cNvCxnSpPr>
          <a:cxnSpLocks noChangeShapeType="1"/>
        </xdr:cNvCxnSpPr>
      </xdr:nvCxnSpPr>
      <xdr:spPr bwMode="auto">
        <a:xfrm>
          <a:off x="3352800" y="943927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53</xdr:row>
      <xdr:rowOff>85725</xdr:rowOff>
    </xdr:from>
    <xdr:to>
      <xdr:col>12</xdr:col>
      <xdr:colOff>209550</xdr:colOff>
      <xdr:row>53</xdr:row>
      <xdr:rowOff>85725</xdr:rowOff>
    </xdr:to>
    <xdr:cxnSp macro="">
      <xdr:nvCxnSpPr>
        <xdr:cNvPr id="7230" name="Straight Arrow Connector 76">
          <a:extLst>
            <a:ext uri="{FF2B5EF4-FFF2-40B4-BE49-F238E27FC236}">
              <a16:creationId xmlns:a16="http://schemas.microsoft.com/office/drawing/2014/main" id="{00000000-0008-0000-0100-00003E1C0000}"/>
            </a:ext>
          </a:extLst>
        </xdr:cNvPr>
        <xdr:cNvCxnSpPr>
          <a:cxnSpLocks noChangeShapeType="1"/>
        </xdr:cNvCxnSpPr>
      </xdr:nvCxnSpPr>
      <xdr:spPr bwMode="auto">
        <a:xfrm>
          <a:off x="3352800" y="961072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55</xdr:row>
      <xdr:rowOff>85725</xdr:rowOff>
    </xdr:from>
    <xdr:to>
      <xdr:col>12</xdr:col>
      <xdr:colOff>209550</xdr:colOff>
      <xdr:row>55</xdr:row>
      <xdr:rowOff>85725</xdr:rowOff>
    </xdr:to>
    <xdr:cxnSp macro="">
      <xdr:nvCxnSpPr>
        <xdr:cNvPr id="7231" name="Straight Arrow Connector 77">
          <a:extLst>
            <a:ext uri="{FF2B5EF4-FFF2-40B4-BE49-F238E27FC236}">
              <a16:creationId xmlns:a16="http://schemas.microsoft.com/office/drawing/2014/main" id="{00000000-0008-0000-0100-00003F1C0000}"/>
            </a:ext>
          </a:extLst>
        </xdr:cNvPr>
        <xdr:cNvCxnSpPr>
          <a:cxnSpLocks noChangeShapeType="1"/>
        </xdr:cNvCxnSpPr>
      </xdr:nvCxnSpPr>
      <xdr:spPr bwMode="auto">
        <a:xfrm>
          <a:off x="3352800" y="995362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54</xdr:row>
      <xdr:rowOff>85725</xdr:rowOff>
    </xdr:from>
    <xdr:to>
      <xdr:col>12</xdr:col>
      <xdr:colOff>209550</xdr:colOff>
      <xdr:row>54</xdr:row>
      <xdr:rowOff>85725</xdr:rowOff>
    </xdr:to>
    <xdr:cxnSp macro="">
      <xdr:nvCxnSpPr>
        <xdr:cNvPr id="7232" name="Straight Arrow Connector 78">
          <a:extLst>
            <a:ext uri="{FF2B5EF4-FFF2-40B4-BE49-F238E27FC236}">
              <a16:creationId xmlns:a16="http://schemas.microsoft.com/office/drawing/2014/main" id="{00000000-0008-0000-0100-0000401C0000}"/>
            </a:ext>
          </a:extLst>
        </xdr:cNvPr>
        <xdr:cNvCxnSpPr>
          <a:cxnSpLocks noChangeShapeType="1"/>
        </xdr:cNvCxnSpPr>
      </xdr:nvCxnSpPr>
      <xdr:spPr bwMode="auto">
        <a:xfrm>
          <a:off x="3352800" y="9782175"/>
          <a:ext cx="171450" cy="0"/>
        </a:xfrm>
        <a:prstGeom prst="straightConnector1">
          <a:avLst/>
        </a:prstGeom>
        <a:noFill/>
        <a:ln w="9525" algn="ctr">
          <a:solidFill>
            <a:srgbClr val="000000"/>
          </a:solidFill>
          <a:round/>
          <a:headEnd/>
          <a:tailEnd type="arrow" w="med" len="med"/>
        </a:ln>
      </xdr:spPr>
    </xdr:cxnSp>
    <xdr:clientData/>
  </xdr:twoCellAnchor>
  <xdr:twoCellAnchor>
    <xdr:from>
      <xdr:col>3</xdr:col>
      <xdr:colOff>209799</xdr:colOff>
      <xdr:row>9</xdr:row>
      <xdr:rowOff>1313</xdr:rowOff>
    </xdr:from>
    <xdr:to>
      <xdr:col>13</xdr:col>
      <xdr:colOff>142876</xdr:colOff>
      <xdr:row>10</xdr:row>
      <xdr:rowOff>170793</xdr:rowOff>
    </xdr:to>
    <xdr:sp macro="" textlink="">
      <xdr:nvSpPr>
        <xdr:cNvPr id="96" name="テキスト 55">
          <a:extLst>
            <a:ext uri="{FF2B5EF4-FFF2-40B4-BE49-F238E27FC236}">
              <a16:creationId xmlns:a16="http://schemas.microsoft.com/office/drawing/2014/main" id="{00000000-0008-0000-0100-000060000000}"/>
            </a:ext>
          </a:extLst>
        </xdr:cNvPr>
        <xdr:cNvSpPr txBox="1">
          <a:spLocks noChangeArrowheads="1"/>
        </xdr:cNvSpPr>
      </xdr:nvSpPr>
      <xdr:spPr bwMode="auto">
        <a:xfrm>
          <a:off x="1102768" y="1221704"/>
          <a:ext cx="2719139" cy="484995"/>
        </a:xfrm>
        <a:prstGeom prst="rect">
          <a:avLst/>
        </a:prstGeom>
        <a:noFill/>
        <a:ln>
          <a:noFill/>
        </a:ln>
      </xdr:spPr>
      <xdr:txBody>
        <a:bodyPr vertOverflow="clip" vert="horz" wrap="square" lIns="27432" tIns="18288" rIns="27432"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1" i="0">
              <a:solidFill>
                <a:srgbClr val="0070C0"/>
              </a:solidFill>
              <a:effectLst/>
              <a:latin typeface="+mn-lt"/>
              <a:ea typeface="+mn-ea"/>
              <a:cs typeface="+mn-cs"/>
            </a:rPr>
            <a:t>MD</a:t>
          </a:r>
          <a:r>
            <a:rPr lang="en-US" sz="900" b="0" i="0">
              <a:solidFill>
                <a:srgbClr val="0070C0"/>
              </a:solidFill>
              <a:effectLst/>
              <a:latin typeface="+mn-lt"/>
              <a:ea typeface="+mn-ea"/>
              <a:cs typeface="+mn-cs"/>
            </a:rPr>
            <a:t> &gt; 3 mill  , </a:t>
          </a:r>
          <a:r>
            <a:rPr lang="en-US" sz="900" b="1" i="0">
              <a:solidFill>
                <a:srgbClr val="0070C0"/>
              </a:solidFill>
              <a:effectLst/>
              <a:latin typeface="+mn-lt"/>
              <a:ea typeface="+mn-ea"/>
              <a:cs typeface="+mn-cs"/>
            </a:rPr>
            <a:t>COD </a:t>
          </a:r>
          <a:r>
            <a:rPr lang="en-US" sz="900" b="0" i="0">
              <a:solidFill>
                <a:srgbClr val="0070C0"/>
              </a:solidFill>
              <a:effectLst/>
              <a:latin typeface="+mn-lt"/>
              <a:ea typeface="+mn-ea"/>
              <a:cs typeface="+mn-cs"/>
            </a:rPr>
            <a:t>≤ 3 mill</a:t>
          </a:r>
          <a:r>
            <a:rPr lang="en-US" sz="700" b="0" i="0" strike="noStrike">
              <a:solidFill>
                <a:srgbClr val="0070C0"/>
              </a:solidFill>
              <a:effectLst/>
              <a:latin typeface="Arial"/>
              <a:ea typeface="+mn-ea"/>
              <a:cs typeface="Arial"/>
            </a:rPr>
            <a:t>.</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a:solidFill>
                <a:srgbClr val="0070C0"/>
              </a:solidFill>
              <a:effectLst/>
              <a:latin typeface="+mn-lt"/>
              <a:ea typeface="+mn-ea"/>
              <a:cs typeface="+mn-cs"/>
            </a:rPr>
            <a:t>*** Respective</a:t>
          </a:r>
          <a:r>
            <a:rPr lang="en-US" sz="900" b="0" i="0" baseline="0">
              <a:solidFill>
                <a:srgbClr val="0070C0"/>
              </a:solidFill>
              <a:effectLst/>
              <a:latin typeface="+mn-lt"/>
              <a:ea typeface="+mn-ea"/>
              <a:cs typeface="+mn-cs"/>
            </a:rPr>
            <a:t> CoD should approve for his own division,</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baseline="0">
              <a:solidFill>
                <a:srgbClr val="0070C0"/>
              </a:solidFill>
              <a:effectLst/>
              <a:latin typeface="+mn-lt"/>
              <a:ea typeface="+mn-ea"/>
              <a:cs typeface="+mn-cs"/>
            </a:rPr>
            <a:t>***In case CoD is Below VP so MD will approve.</a:t>
          </a:r>
          <a:endParaRPr lang="en-US" sz="700" b="0" i="0" strike="noStrike">
            <a:solidFill>
              <a:srgbClr val="0070C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18</xdr:col>
          <xdr:colOff>28575</xdr:colOff>
          <xdr:row>36</xdr:row>
          <xdr:rowOff>152400</xdr:rowOff>
        </xdr:from>
        <xdr:to>
          <xdr:col>19</xdr:col>
          <xdr:colOff>57150</xdr:colOff>
          <xdr:row>38</xdr:row>
          <xdr:rowOff>19050</xdr:rowOff>
        </xdr:to>
        <xdr:sp macro="" textlink="">
          <xdr:nvSpPr>
            <xdr:cNvPr id="7207" name="Check Box 39" hidden="1">
              <a:extLst>
                <a:ext uri="{63B3BB69-23CF-44E3-9099-C40C66FF867C}">
                  <a14:compatExt spid="_x0000_s7207"/>
                </a:ext>
                <a:ext uri="{FF2B5EF4-FFF2-40B4-BE49-F238E27FC236}">
                  <a16:creationId xmlns:a16="http://schemas.microsoft.com/office/drawing/2014/main" id="{00000000-0008-0000-0100-000027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36</xdr:row>
          <xdr:rowOff>152400</xdr:rowOff>
        </xdr:from>
        <xdr:to>
          <xdr:col>22</xdr:col>
          <xdr:colOff>28575</xdr:colOff>
          <xdr:row>38</xdr:row>
          <xdr:rowOff>19050</xdr:rowOff>
        </xdr:to>
        <xdr:sp macro="" textlink="">
          <xdr:nvSpPr>
            <xdr:cNvPr id="7208" name="Check Box 40" hidden="1">
              <a:extLst>
                <a:ext uri="{63B3BB69-23CF-44E3-9099-C40C66FF867C}">
                  <a14:compatExt spid="_x0000_s7208"/>
                </a:ext>
                <a:ext uri="{FF2B5EF4-FFF2-40B4-BE49-F238E27FC236}">
                  <a16:creationId xmlns:a16="http://schemas.microsoft.com/office/drawing/2014/main" id="{00000000-0008-0000-0100-000028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50</xdr:row>
          <xdr:rowOff>133350</xdr:rowOff>
        </xdr:from>
        <xdr:to>
          <xdr:col>3</xdr:col>
          <xdr:colOff>57150</xdr:colOff>
          <xdr:row>52</xdr:row>
          <xdr:rowOff>19050</xdr:rowOff>
        </xdr:to>
        <xdr:sp macro="" textlink="">
          <xdr:nvSpPr>
            <xdr:cNvPr id="7209" name="Check Box 41" hidden="1">
              <a:extLst>
                <a:ext uri="{63B3BB69-23CF-44E3-9099-C40C66FF867C}">
                  <a14:compatExt spid="_x0000_s7209"/>
                </a:ext>
                <a:ext uri="{FF2B5EF4-FFF2-40B4-BE49-F238E27FC236}">
                  <a16:creationId xmlns:a16="http://schemas.microsoft.com/office/drawing/2014/main" id="{00000000-0008-0000-0100-000029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51</xdr:row>
          <xdr:rowOff>152400</xdr:rowOff>
        </xdr:from>
        <xdr:to>
          <xdr:col>3</xdr:col>
          <xdr:colOff>57150</xdr:colOff>
          <xdr:row>53</xdr:row>
          <xdr:rowOff>19050</xdr:rowOff>
        </xdr:to>
        <xdr:sp macro="" textlink="">
          <xdr:nvSpPr>
            <xdr:cNvPr id="7210" name="Check Box 42" hidden="1">
              <a:extLst>
                <a:ext uri="{63B3BB69-23CF-44E3-9099-C40C66FF867C}">
                  <a14:compatExt spid="_x0000_s7210"/>
                </a:ext>
                <a:ext uri="{FF2B5EF4-FFF2-40B4-BE49-F238E27FC236}">
                  <a16:creationId xmlns:a16="http://schemas.microsoft.com/office/drawing/2014/main" id="{00000000-0008-0000-0100-00002A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52</xdr:row>
          <xdr:rowOff>152400</xdr:rowOff>
        </xdr:from>
        <xdr:to>
          <xdr:col>3</xdr:col>
          <xdr:colOff>57150</xdr:colOff>
          <xdr:row>54</xdr:row>
          <xdr:rowOff>19050</xdr:rowOff>
        </xdr:to>
        <xdr:sp macro="" textlink="">
          <xdr:nvSpPr>
            <xdr:cNvPr id="7211" name="Check Box 43" hidden="1">
              <a:extLst>
                <a:ext uri="{63B3BB69-23CF-44E3-9099-C40C66FF867C}">
                  <a14:compatExt spid="_x0000_s7211"/>
                </a:ext>
                <a:ext uri="{FF2B5EF4-FFF2-40B4-BE49-F238E27FC236}">
                  <a16:creationId xmlns:a16="http://schemas.microsoft.com/office/drawing/2014/main" id="{00000000-0008-0000-0100-00002B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17</xdr:row>
          <xdr:rowOff>0</xdr:rowOff>
        </xdr:from>
        <xdr:to>
          <xdr:col>18</xdr:col>
          <xdr:colOff>9525</xdr:colOff>
          <xdr:row>18</xdr:row>
          <xdr:rowOff>38100</xdr:rowOff>
        </xdr:to>
        <xdr:sp macro="" textlink="">
          <xdr:nvSpPr>
            <xdr:cNvPr id="7212" name="チェック8" hidden="1">
              <a:extLst>
                <a:ext uri="{63B3BB69-23CF-44E3-9099-C40C66FF867C}">
                  <a14:compatExt spid="_x0000_s7212"/>
                </a:ext>
                <a:ext uri="{FF2B5EF4-FFF2-40B4-BE49-F238E27FC236}">
                  <a16:creationId xmlns:a16="http://schemas.microsoft.com/office/drawing/2014/main" id="{00000000-0008-0000-0100-00002C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17</xdr:row>
          <xdr:rowOff>161925</xdr:rowOff>
        </xdr:from>
        <xdr:to>
          <xdr:col>18</xdr:col>
          <xdr:colOff>9525</xdr:colOff>
          <xdr:row>19</xdr:row>
          <xdr:rowOff>9525</xdr:rowOff>
        </xdr:to>
        <xdr:sp macro="" textlink="">
          <xdr:nvSpPr>
            <xdr:cNvPr id="7213" name="チェック9" hidden="1">
              <a:extLst>
                <a:ext uri="{63B3BB69-23CF-44E3-9099-C40C66FF867C}">
                  <a14:compatExt spid="_x0000_s7213"/>
                </a:ext>
                <a:ext uri="{FF2B5EF4-FFF2-40B4-BE49-F238E27FC236}">
                  <a16:creationId xmlns:a16="http://schemas.microsoft.com/office/drawing/2014/main" id="{00000000-0008-0000-0100-00002D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xdr:colOff>
          <xdr:row>41</xdr:row>
          <xdr:rowOff>0</xdr:rowOff>
        </xdr:from>
        <xdr:to>
          <xdr:col>19</xdr:col>
          <xdr:colOff>47625</xdr:colOff>
          <xdr:row>42</xdr:row>
          <xdr:rowOff>38100</xdr:rowOff>
        </xdr:to>
        <xdr:sp macro="" textlink="">
          <xdr:nvSpPr>
            <xdr:cNvPr id="7214" name="Check Box 46" hidden="1">
              <a:extLst>
                <a:ext uri="{63B3BB69-23CF-44E3-9099-C40C66FF867C}">
                  <a14:compatExt spid="_x0000_s7214"/>
                </a:ext>
                <a:ext uri="{FF2B5EF4-FFF2-40B4-BE49-F238E27FC236}">
                  <a16:creationId xmlns:a16="http://schemas.microsoft.com/office/drawing/2014/main" id="{00000000-0008-0000-0100-00002E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xdr:colOff>
          <xdr:row>41</xdr:row>
          <xdr:rowOff>152400</xdr:rowOff>
        </xdr:from>
        <xdr:to>
          <xdr:col>19</xdr:col>
          <xdr:colOff>47625</xdr:colOff>
          <xdr:row>43</xdr:row>
          <xdr:rowOff>19050</xdr:rowOff>
        </xdr:to>
        <xdr:sp macro="" textlink="">
          <xdr:nvSpPr>
            <xdr:cNvPr id="7215" name="Check Box 47" hidden="1">
              <a:extLst>
                <a:ext uri="{63B3BB69-23CF-44E3-9099-C40C66FF867C}">
                  <a14:compatExt spid="_x0000_s7215"/>
                </a:ext>
                <a:ext uri="{FF2B5EF4-FFF2-40B4-BE49-F238E27FC236}">
                  <a16:creationId xmlns:a16="http://schemas.microsoft.com/office/drawing/2014/main" id="{00000000-0008-0000-0100-00002F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28575</xdr:colOff>
          <xdr:row>41</xdr:row>
          <xdr:rowOff>152400</xdr:rowOff>
        </xdr:from>
        <xdr:to>
          <xdr:col>25</xdr:col>
          <xdr:colOff>57150</xdr:colOff>
          <xdr:row>43</xdr:row>
          <xdr:rowOff>19050</xdr:rowOff>
        </xdr:to>
        <xdr:sp macro="" textlink="">
          <xdr:nvSpPr>
            <xdr:cNvPr id="7216" name="Check Box 48" hidden="1">
              <a:extLst>
                <a:ext uri="{63B3BB69-23CF-44E3-9099-C40C66FF867C}">
                  <a14:compatExt spid="_x0000_s7216"/>
                </a:ext>
                <a:ext uri="{FF2B5EF4-FFF2-40B4-BE49-F238E27FC236}">
                  <a16:creationId xmlns:a16="http://schemas.microsoft.com/office/drawing/2014/main" id="{00000000-0008-0000-0100-000030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51</xdr:row>
          <xdr:rowOff>152400</xdr:rowOff>
        </xdr:from>
        <xdr:to>
          <xdr:col>11</xdr:col>
          <xdr:colOff>47625</xdr:colOff>
          <xdr:row>53</xdr:row>
          <xdr:rowOff>19050</xdr:rowOff>
        </xdr:to>
        <xdr:sp macro="" textlink="">
          <xdr:nvSpPr>
            <xdr:cNvPr id="7217" name="Check Box 49" hidden="1">
              <a:extLst>
                <a:ext uri="{63B3BB69-23CF-44E3-9099-C40C66FF867C}">
                  <a14:compatExt spid="_x0000_s7217"/>
                </a:ext>
                <a:ext uri="{FF2B5EF4-FFF2-40B4-BE49-F238E27FC236}">
                  <a16:creationId xmlns:a16="http://schemas.microsoft.com/office/drawing/2014/main" id="{00000000-0008-0000-0100-000031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52</xdr:row>
          <xdr:rowOff>142875</xdr:rowOff>
        </xdr:from>
        <xdr:to>
          <xdr:col>11</xdr:col>
          <xdr:colOff>85725</xdr:colOff>
          <xdr:row>54</xdr:row>
          <xdr:rowOff>28575</xdr:rowOff>
        </xdr:to>
        <xdr:sp macro="" textlink="">
          <xdr:nvSpPr>
            <xdr:cNvPr id="7218" name="Check Box 50" hidden="1">
              <a:extLst>
                <a:ext uri="{63B3BB69-23CF-44E3-9099-C40C66FF867C}">
                  <a14:compatExt spid="_x0000_s7218"/>
                </a:ext>
                <a:ext uri="{FF2B5EF4-FFF2-40B4-BE49-F238E27FC236}">
                  <a16:creationId xmlns:a16="http://schemas.microsoft.com/office/drawing/2014/main" id="{00000000-0008-0000-0100-000032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53</xdr:row>
          <xdr:rowOff>152400</xdr:rowOff>
        </xdr:from>
        <xdr:to>
          <xdr:col>11</xdr:col>
          <xdr:colOff>38100</xdr:colOff>
          <xdr:row>55</xdr:row>
          <xdr:rowOff>19050</xdr:rowOff>
        </xdr:to>
        <xdr:sp macro="" textlink="">
          <xdr:nvSpPr>
            <xdr:cNvPr id="7219" name="Check Box 51" hidden="1">
              <a:extLst>
                <a:ext uri="{63B3BB69-23CF-44E3-9099-C40C66FF867C}">
                  <a14:compatExt spid="_x0000_s7219"/>
                </a:ext>
                <a:ext uri="{FF2B5EF4-FFF2-40B4-BE49-F238E27FC236}">
                  <a16:creationId xmlns:a16="http://schemas.microsoft.com/office/drawing/2014/main" id="{00000000-0008-0000-0100-000033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28575</xdr:colOff>
          <xdr:row>54</xdr:row>
          <xdr:rowOff>152400</xdr:rowOff>
        </xdr:from>
        <xdr:to>
          <xdr:col>11</xdr:col>
          <xdr:colOff>85725</xdr:colOff>
          <xdr:row>56</xdr:row>
          <xdr:rowOff>19050</xdr:rowOff>
        </xdr:to>
        <xdr:sp macro="" textlink="">
          <xdr:nvSpPr>
            <xdr:cNvPr id="7220" name="Check Box 52" hidden="1">
              <a:extLst>
                <a:ext uri="{63B3BB69-23CF-44E3-9099-C40C66FF867C}">
                  <a14:compatExt spid="_x0000_s7220"/>
                </a:ext>
                <a:ext uri="{FF2B5EF4-FFF2-40B4-BE49-F238E27FC236}">
                  <a16:creationId xmlns:a16="http://schemas.microsoft.com/office/drawing/2014/main" id="{00000000-0008-0000-0100-0000341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1</xdr:colOff>
      <xdr:row>2</xdr:row>
      <xdr:rowOff>65690</xdr:rowOff>
    </xdr:from>
    <xdr:to>
      <xdr:col>20</xdr:col>
      <xdr:colOff>157656</xdr:colOff>
      <xdr:row>4</xdr:row>
      <xdr:rowOff>223345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512795" y="278602"/>
          <a:ext cx="4371067" cy="31453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tIns="0" bIns="0" rtlCol="0" anchor="t"/>
        <a:lstStyle/>
        <a:p>
          <a:pPr algn="ctr"/>
          <a:r>
            <a:rPr lang="en-US" sz="700">
              <a:solidFill>
                <a:srgbClr val="FF0000"/>
              </a:solidFill>
            </a:rPr>
            <a:t>Please attach 1) 1 quotation for applied budget or past 3 year records i.e.</a:t>
          </a:r>
          <a:r>
            <a:rPr lang="en-US" sz="700" baseline="0">
              <a:solidFill>
                <a:srgbClr val="FF0000"/>
              </a:solidFill>
            </a:rPr>
            <a:t> PO in case repeat item.</a:t>
          </a:r>
        </a:p>
        <a:p>
          <a:pPr algn="ctr"/>
          <a:r>
            <a:rPr lang="en-US" sz="700" baseline="0">
              <a:solidFill>
                <a:srgbClr val="FF0000"/>
              </a:solidFill>
            </a:rPr>
            <a:t>2) Landed cost calculation from quotation to applied budget ( refer Annual plan landed factors )</a:t>
          </a:r>
          <a:endParaRPr lang="en-US" sz="700">
            <a:solidFill>
              <a:srgbClr val="FF0000"/>
            </a:solidFill>
          </a:endParaRPr>
        </a:p>
      </xdr:txBody>
    </xdr:sp>
    <xdr:clientData/>
  </xdr:twoCellAnchor>
  <mc:AlternateContent xmlns:mc="http://schemas.openxmlformats.org/markup-compatibility/2006">
    <mc:Choice xmlns:a14="http://schemas.microsoft.com/office/drawing/2010/main" Requires="a14">
      <xdr:twoCellAnchor editAs="oneCell">
        <xdr:from>
          <xdr:col>23</xdr:col>
          <xdr:colOff>47625</xdr:colOff>
          <xdr:row>14</xdr:row>
          <xdr:rowOff>104775</xdr:rowOff>
        </xdr:from>
        <xdr:to>
          <xdr:col>24</xdr:col>
          <xdr:colOff>76200</xdr:colOff>
          <xdr:row>16</xdr:row>
          <xdr:rowOff>38100</xdr:rowOff>
        </xdr:to>
        <xdr:sp macro="" textlink="">
          <xdr:nvSpPr>
            <xdr:cNvPr id="3" name="チェック8" hidden="1">
              <a:extLst>
                <a:ext uri="{63B3BB69-23CF-44E3-9099-C40C66FF867C}">
                  <a14:compatExt spid="_x0000_s7221"/>
                </a:ext>
                <a:ext uri="{FF2B5EF4-FFF2-40B4-BE49-F238E27FC236}">
                  <a16:creationId xmlns:a16="http://schemas.microsoft.com/office/drawing/2014/main" id="{00000000-0008-0000-0100-0000030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266700</xdr:colOff>
          <xdr:row>14</xdr:row>
          <xdr:rowOff>66675</xdr:rowOff>
        </xdr:from>
        <xdr:to>
          <xdr:col>26</xdr:col>
          <xdr:colOff>304800</xdr:colOff>
          <xdr:row>16</xdr:row>
          <xdr:rowOff>104775</xdr:rowOff>
        </xdr:to>
        <xdr:sp macro="" textlink="">
          <xdr:nvSpPr>
            <xdr:cNvPr id="4" name="チェック9" hidden="1">
              <a:extLst>
                <a:ext uri="{63B3BB69-23CF-44E3-9099-C40C66FF867C}">
                  <a14:compatExt spid="_x0000_s7223"/>
                </a:ext>
                <a:ext uri="{FF2B5EF4-FFF2-40B4-BE49-F238E27FC236}">
                  <a16:creationId xmlns:a16="http://schemas.microsoft.com/office/drawing/2014/main" id="{00000000-0008-0000-0100-00000400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12</xdr:col>
      <xdr:colOff>152397</xdr:colOff>
      <xdr:row>6</xdr:row>
      <xdr:rowOff>54251</xdr:rowOff>
    </xdr:from>
    <xdr:to>
      <xdr:col>15</xdr:col>
      <xdr:colOff>185528</xdr:colOff>
      <xdr:row>9</xdr:row>
      <xdr:rowOff>184288</xdr:rowOff>
    </xdr:to>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3548267" y="882512"/>
          <a:ext cx="819978" cy="5193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br>
            <a:rPr lang="en-IN" sz="800"/>
          </a:br>
          <a:r>
            <a:rPr lang="en-IN" sz="800"/>
            <a:t>HOD sign</a:t>
          </a:r>
        </a:p>
      </xdr:txBody>
    </xdr:sp>
    <xdr:clientData/>
  </xdr:twoCellAnchor>
  <xdr:oneCellAnchor>
    <xdr:from>
      <xdr:col>15</xdr:col>
      <xdr:colOff>140803</xdr:colOff>
      <xdr:row>4</xdr:row>
      <xdr:rowOff>190498</xdr:rowOff>
    </xdr:from>
    <xdr:ext cx="1118152" cy="336439"/>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323520" y="546650"/>
          <a:ext cx="1118152" cy="3364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a:t>ISD HOD check  (</a:t>
          </a:r>
          <a:r>
            <a:rPr lang="en-IN" sz="700">
              <a:latin typeface="Yu Gothic" panose="020B0400000000000000" pitchFamily="34" charset="-128"/>
              <a:ea typeface="Yu Gothic" panose="020B0400000000000000" pitchFamily="34" charset="-128"/>
            </a:rPr>
            <a:t>✓or X</a:t>
          </a:r>
          <a:r>
            <a:rPr lang="en-IN" sz="700" baseline="0">
              <a:latin typeface="Yu Gothic" panose="020B0400000000000000" pitchFamily="34" charset="-128"/>
              <a:ea typeface="Yu Gothic" panose="020B0400000000000000" pitchFamily="34" charset="-128"/>
            </a:rPr>
            <a:t> )</a:t>
          </a:r>
          <a:endParaRPr lang="en-IN" sz="700"/>
        </a:p>
        <a:p>
          <a:r>
            <a:rPr lang="en-IN" sz="600"/>
            <a:t>( IT laptop,</a:t>
          </a:r>
          <a:r>
            <a:rPr lang="en-IN" sz="600" baseline="0"/>
            <a:t> PC, m/c PC etc)</a:t>
          </a:r>
          <a:endParaRPr lang="en-IN" sz="600"/>
        </a:p>
      </xdr:txBody>
    </xdr:sp>
    <xdr:clientData/>
  </xdr:oneCellAnchor>
  <xdr:oneCellAnchor>
    <xdr:from>
      <xdr:col>11</xdr:col>
      <xdr:colOff>256759</xdr:colOff>
      <xdr:row>4</xdr:row>
      <xdr:rowOff>210377</xdr:rowOff>
    </xdr:from>
    <xdr:ext cx="1146312" cy="352084"/>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3409534" y="572327"/>
          <a:ext cx="1146312" cy="3520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a:t>MTD</a:t>
          </a:r>
          <a:r>
            <a:rPr lang="en-IN" sz="700" baseline="0"/>
            <a:t> </a:t>
          </a:r>
          <a:r>
            <a:rPr lang="en-IN" sz="700"/>
            <a:t>HOD check (</a:t>
          </a:r>
          <a:r>
            <a:rPr lang="en-IN" sz="700">
              <a:latin typeface="Yu Gothic" panose="020B0400000000000000" pitchFamily="34" charset="-128"/>
              <a:ea typeface="Yu Gothic" panose="020B0400000000000000" pitchFamily="34" charset="-128"/>
            </a:rPr>
            <a:t>✓or X</a:t>
          </a:r>
          <a:r>
            <a:rPr lang="en-IN" sz="700" baseline="0">
              <a:latin typeface="Yu Gothic" panose="020B0400000000000000" pitchFamily="34" charset="-128"/>
              <a:ea typeface="Yu Gothic" panose="020B0400000000000000" pitchFamily="34" charset="-128"/>
            </a:rPr>
            <a:t> )</a:t>
          </a:r>
          <a:endParaRPr lang="en-IN" sz="700"/>
        </a:p>
        <a:p>
          <a:r>
            <a:rPr lang="en-IN" sz="700"/>
            <a:t>( for repeat dies </a:t>
          </a:r>
          <a:r>
            <a:rPr lang="en-IN" sz="700" baseline="0"/>
            <a:t>)</a:t>
          </a:r>
          <a:endParaRPr lang="en-IN" sz="700" b="1"/>
        </a:p>
      </xdr:txBody>
    </xdr:sp>
    <xdr:clientData/>
  </xdr:oneCellAnchor>
  <xdr:twoCellAnchor>
    <xdr:from>
      <xdr:col>15</xdr:col>
      <xdr:colOff>238537</xdr:colOff>
      <xdr:row>6</xdr:row>
      <xdr:rowOff>57564</xdr:rowOff>
    </xdr:from>
    <xdr:to>
      <xdr:col>18</xdr:col>
      <xdr:colOff>180558</xdr:colOff>
      <xdr:row>9</xdr:row>
      <xdr:rowOff>187601</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4421254" y="885825"/>
          <a:ext cx="819978" cy="5193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br>
            <a:rPr lang="en-IN" sz="800"/>
          </a:br>
          <a:r>
            <a:rPr lang="en-IN" sz="800"/>
            <a:t>HOD sign</a:t>
          </a:r>
        </a:p>
      </xdr:txBody>
    </xdr:sp>
    <xdr:clientData/>
  </xdr:twoCellAnchor>
  <xdr:twoCellAnchor>
    <xdr:from>
      <xdr:col>11</xdr:col>
      <xdr:colOff>178595</xdr:colOff>
      <xdr:row>6</xdr:row>
      <xdr:rowOff>35718</xdr:rowOff>
    </xdr:from>
    <xdr:to>
      <xdr:col>19</xdr:col>
      <xdr:colOff>89297</xdr:colOff>
      <xdr:row>8</xdr:row>
      <xdr:rowOff>83342</xdr:rowOff>
    </xdr:to>
    <xdr:cxnSp macro="">
      <xdr:nvCxnSpPr>
        <xdr:cNvPr id="8" name="Elbow Connector 7">
          <a:extLst>
            <a:ext uri="{FF2B5EF4-FFF2-40B4-BE49-F238E27FC236}">
              <a16:creationId xmlns:a16="http://schemas.microsoft.com/office/drawing/2014/main" id="{00000000-0008-0000-0100-000008000000}"/>
            </a:ext>
          </a:extLst>
        </xdr:cNvPr>
        <xdr:cNvCxnSpPr/>
      </xdr:nvCxnSpPr>
      <xdr:spPr bwMode="auto">
        <a:xfrm rot="10800000" flipV="1">
          <a:off x="3309939" y="863202"/>
          <a:ext cx="2125264" cy="285749"/>
        </a:xfrm>
        <a:prstGeom prst="bentConnector3">
          <a:avLst>
            <a:gd name="adj1" fmla="val 7143"/>
          </a:avLst>
        </a:prstGeom>
        <a:solidFill>
          <a:srgbClr val="090000"/>
        </a:solidFill>
        <a:ln w="9525" cap="flat" cmpd="sng" algn="ctr">
          <a:solidFill>
            <a:srgbClr val="4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13</xdr:col>
      <xdr:colOff>120616</xdr:colOff>
      <xdr:row>9</xdr:row>
      <xdr:rowOff>201369</xdr:rowOff>
    </xdr:from>
    <xdr:ext cx="1451012" cy="109582"/>
    <xdr:sp macro="" textlink="">
      <xdr:nvSpPr>
        <xdr:cNvPr id="64" name="TextBox 63">
          <a:extLst>
            <a:ext uri="{FF2B5EF4-FFF2-40B4-BE49-F238E27FC236}">
              <a16:creationId xmlns:a16="http://schemas.microsoft.com/office/drawing/2014/main" id="{00000000-0008-0000-0100-000040000000}"/>
            </a:ext>
          </a:extLst>
        </xdr:cNvPr>
        <xdr:cNvSpPr txBox="1"/>
      </xdr:nvSpPr>
      <xdr:spPr>
        <a:xfrm>
          <a:off x="3799647" y="1421760"/>
          <a:ext cx="1451012" cy="10958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lgn="ctr"/>
          <a:r>
            <a:rPr lang="en-IN" sz="700"/>
            <a:t>Check before BP approval as applicable</a:t>
          </a:r>
          <a:endParaRPr lang="en-IN" sz="600"/>
        </a:p>
      </xdr:txBody>
    </xdr:sp>
    <xdr:clientData/>
  </xdr:oneCellAnchor>
  <xdr:twoCellAnchor>
    <xdr:from>
      <xdr:col>1</xdr:col>
      <xdr:colOff>263899</xdr:colOff>
      <xdr:row>41</xdr:row>
      <xdr:rowOff>18338</xdr:rowOff>
    </xdr:from>
    <xdr:to>
      <xdr:col>5</xdr:col>
      <xdr:colOff>0</xdr:colOff>
      <xdr:row>43</xdr:row>
      <xdr:rowOff>22411</xdr:rowOff>
    </xdr:to>
    <xdr:sp macro="" textlink="">
      <xdr:nvSpPr>
        <xdr:cNvPr id="52" name="TextBox 110">
          <a:extLst>
            <a:ext uri="{FF2B5EF4-FFF2-40B4-BE49-F238E27FC236}">
              <a16:creationId xmlns:a16="http://schemas.microsoft.com/office/drawing/2014/main" id="{00000000-0008-0000-0100-000034000000}"/>
            </a:ext>
          </a:extLst>
        </xdr:cNvPr>
        <xdr:cNvSpPr txBox="1"/>
      </xdr:nvSpPr>
      <xdr:spPr>
        <a:xfrm>
          <a:off x="611281" y="6652220"/>
          <a:ext cx="901513" cy="340250"/>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l" defTabSz="457200" rtl="0" eaLnBrk="1" fontAlgn="auto" latinLnBrk="0" hangingPunct="1">
            <a:lnSpc>
              <a:spcPct val="150000"/>
            </a:lnSpc>
            <a:spcBef>
              <a:spcPts val="0"/>
            </a:spcBef>
            <a:spcAft>
              <a:spcPts val="0"/>
            </a:spcAft>
            <a:buClrTx/>
            <a:buSzTx/>
            <a:buFontTx/>
            <a:buNone/>
            <a:tabLst/>
            <a:defRPr/>
          </a:pPr>
          <a:r>
            <a:rPr kumimoji="0" lang="en-US" sz="1000" b="0" i="0" u="none" strike="noStrike" kern="1200" cap="none" spc="0" normalizeH="0" baseline="0">
              <a:ln>
                <a:noFill/>
              </a:ln>
              <a:solidFill>
                <a:schemeClr val="tx1"/>
              </a:solidFill>
              <a:effectLst/>
              <a:uLnTx/>
              <a:uFillTx/>
              <a:latin typeface="Verdana" panose="020B0604030504040204" pitchFamily="34" charset="0"/>
              <a:ea typeface="Verdana" panose="020B0604030504040204" pitchFamily="34" charset="0"/>
              <a:cs typeface="+mn-cs"/>
            </a:rPr>
            <a:t>NA</a:t>
          </a:r>
        </a:p>
      </xdr:txBody>
    </xdr:sp>
    <xdr:clientData/>
  </xdr:twoCellAnchor>
  <xdr:twoCellAnchor>
    <xdr:from>
      <xdr:col>1</xdr:col>
      <xdr:colOff>228600</xdr:colOff>
      <xdr:row>27</xdr:row>
      <xdr:rowOff>2561</xdr:rowOff>
    </xdr:from>
    <xdr:to>
      <xdr:col>18</xdr:col>
      <xdr:colOff>0</xdr:colOff>
      <xdr:row>28</xdr:row>
      <xdr:rowOff>28575</xdr:rowOff>
    </xdr:to>
    <xdr:sp macro="" textlink="">
      <xdr:nvSpPr>
        <xdr:cNvPr id="42" name="Rectangle 41">
          <a:extLst>
            <a:ext uri="{FF2B5EF4-FFF2-40B4-BE49-F238E27FC236}">
              <a16:creationId xmlns:a16="http://schemas.microsoft.com/office/drawing/2014/main" id="{00000000-0008-0000-0100-00002A000000}"/>
            </a:ext>
          </a:extLst>
        </xdr:cNvPr>
        <xdr:cNvSpPr/>
      </xdr:nvSpPr>
      <xdr:spPr>
        <a:xfrm>
          <a:off x="568187" y="4392344"/>
          <a:ext cx="4492487" cy="1999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r>
            <a:rPr lang="en-US" sz="1100">
              <a:solidFill>
                <a:srgbClr val="0000FF"/>
              </a:solidFill>
              <a:latin typeface="Verdana" panose="020B0604030504040204" pitchFamily="34" charset="0"/>
              <a:ea typeface="Verdana" panose="020B0604030504040204" pitchFamily="34" charset="0"/>
            </a:rPr>
            <a:t>All</a:t>
          </a:r>
          <a:r>
            <a:rPr lang="en-US" sz="1100" baseline="0">
              <a:solidFill>
                <a:srgbClr val="0000FF"/>
              </a:solidFill>
              <a:latin typeface="Verdana" panose="020B0604030504040204" pitchFamily="34" charset="0"/>
              <a:ea typeface="Verdana" panose="020B0604030504040204" pitchFamily="34" charset="0"/>
            </a:rPr>
            <a:t> Gemba </a:t>
          </a:r>
          <a:r>
            <a:rPr lang="en-US" sz="1100">
              <a:solidFill>
                <a:srgbClr val="0000FF"/>
              </a:solidFill>
              <a:latin typeface="Verdana" panose="020B0604030504040204" pitchFamily="34" charset="0"/>
              <a:ea typeface="Verdana" panose="020B0604030504040204" pitchFamily="34" charset="0"/>
            </a:rPr>
            <a:t>Data management is Manual </a:t>
          </a:r>
          <a:endParaRPr lang="en-IN" sz="1100">
            <a:solidFill>
              <a:srgbClr val="0000FF"/>
            </a:solidFill>
            <a:latin typeface="Verdana" panose="020B0604030504040204" pitchFamily="34" charset="0"/>
            <a:ea typeface="Verdana" panose="020B0604030504040204" pitchFamily="34" charset="0"/>
          </a:endParaRPr>
        </a:p>
      </xdr:txBody>
    </xdr:sp>
    <xdr:clientData/>
  </xdr:twoCellAnchor>
  <xdr:twoCellAnchor>
    <xdr:from>
      <xdr:col>1</xdr:col>
      <xdr:colOff>209550</xdr:colOff>
      <xdr:row>27</xdr:row>
      <xdr:rowOff>155534</xdr:rowOff>
    </xdr:from>
    <xdr:to>
      <xdr:col>16</xdr:col>
      <xdr:colOff>66675</xdr:colOff>
      <xdr:row>29</xdr:row>
      <xdr:rowOff>70368</xdr:rowOff>
    </xdr:to>
    <xdr:sp macro="" textlink="">
      <xdr:nvSpPr>
        <xdr:cNvPr id="43" name="TextBox 193">
          <a:extLst>
            <a:ext uri="{FF2B5EF4-FFF2-40B4-BE49-F238E27FC236}">
              <a16:creationId xmlns:a16="http://schemas.microsoft.com/office/drawing/2014/main" id="{00000000-0008-0000-0100-00002B000000}"/>
            </a:ext>
          </a:extLst>
        </xdr:cNvPr>
        <xdr:cNvSpPr txBox="1"/>
      </xdr:nvSpPr>
      <xdr:spPr>
        <a:xfrm>
          <a:off x="552450" y="4537034"/>
          <a:ext cx="4010025" cy="248209"/>
        </a:xfrm>
        <a:prstGeom prst="rect">
          <a:avLst/>
        </a:prstGeom>
        <a:no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000" b="0">
              <a:latin typeface="Verdana" panose="020B0604030504040204" pitchFamily="34" charset="0"/>
              <a:ea typeface="Verdana" panose="020B0604030504040204" pitchFamily="34" charset="0"/>
            </a:rPr>
            <a:t>1. High documentation job load</a:t>
          </a:r>
          <a:endParaRPr lang="en-IN" sz="1000" b="0">
            <a:latin typeface="Verdana" panose="020B0604030504040204" pitchFamily="34" charset="0"/>
            <a:ea typeface="Verdana" panose="020B0604030504040204" pitchFamily="34" charset="0"/>
          </a:endParaRPr>
        </a:p>
      </xdr:txBody>
    </xdr:sp>
    <xdr:clientData/>
  </xdr:twoCellAnchor>
  <xdr:twoCellAnchor>
    <xdr:from>
      <xdr:col>1</xdr:col>
      <xdr:colOff>215553</xdr:colOff>
      <xdr:row>28</xdr:row>
      <xdr:rowOff>142467</xdr:rowOff>
    </xdr:from>
    <xdr:to>
      <xdr:col>16</xdr:col>
      <xdr:colOff>76200</xdr:colOff>
      <xdr:row>30</xdr:row>
      <xdr:rowOff>57558</xdr:rowOff>
    </xdr:to>
    <xdr:sp macro="" textlink="">
      <xdr:nvSpPr>
        <xdr:cNvPr id="45" name="TextBox 195">
          <a:extLst>
            <a:ext uri="{FF2B5EF4-FFF2-40B4-BE49-F238E27FC236}">
              <a16:creationId xmlns:a16="http://schemas.microsoft.com/office/drawing/2014/main" id="{00000000-0008-0000-0100-00002D000000}"/>
            </a:ext>
          </a:extLst>
        </xdr:cNvPr>
        <xdr:cNvSpPr txBox="1"/>
      </xdr:nvSpPr>
      <xdr:spPr>
        <a:xfrm>
          <a:off x="558453" y="4695417"/>
          <a:ext cx="4013547" cy="248466"/>
        </a:xfrm>
        <a:prstGeom prst="rect">
          <a:avLst/>
        </a:prstGeom>
        <a:no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000" b="0">
              <a:latin typeface="Verdana" panose="020B0604030504040204" pitchFamily="34" charset="0"/>
              <a:ea typeface="Verdana" panose="020B0604030504040204" pitchFamily="34" charset="0"/>
            </a:rPr>
            <a:t>2. Various formats → Data duplicity</a:t>
          </a:r>
          <a:endParaRPr lang="en-IN" sz="1000" b="0">
            <a:latin typeface="Verdana" panose="020B0604030504040204" pitchFamily="34" charset="0"/>
            <a:ea typeface="Verdana" panose="020B0604030504040204" pitchFamily="34" charset="0"/>
          </a:endParaRPr>
        </a:p>
      </xdr:txBody>
    </xdr:sp>
    <xdr:clientData/>
  </xdr:twoCellAnchor>
  <xdr:twoCellAnchor>
    <xdr:from>
      <xdr:col>1</xdr:col>
      <xdr:colOff>208872</xdr:colOff>
      <xdr:row>30</xdr:row>
      <xdr:rowOff>132305</xdr:rowOff>
    </xdr:from>
    <xdr:to>
      <xdr:col>15</xdr:col>
      <xdr:colOff>47625</xdr:colOff>
      <xdr:row>32</xdr:row>
      <xdr:rowOff>37614</xdr:rowOff>
    </xdr:to>
    <xdr:sp macro="" textlink="">
      <xdr:nvSpPr>
        <xdr:cNvPr id="46" name="TextBox 217">
          <a:extLst>
            <a:ext uri="{FF2B5EF4-FFF2-40B4-BE49-F238E27FC236}">
              <a16:creationId xmlns:a16="http://schemas.microsoft.com/office/drawing/2014/main" id="{00000000-0008-0000-0100-00002E000000}"/>
            </a:ext>
          </a:extLst>
        </xdr:cNvPr>
        <xdr:cNvSpPr txBox="1"/>
      </xdr:nvSpPr>
      <xdr:spPr>
        <a:xfrm>
          <a:off x="551772" y="5018630"/>
          <a:ext cx="3715428" cy="248209"/>
        </a:xfrm>
        <a:prstGeom prst="rect">
          <a:avLst/>
        </a:prstGeom>
        <a:no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r>
            <a:rPr lang="en-US" sz="1000" b="0" kern="1200">
              <a:solidFill>
                <a:schemeClr val="tx1"/>
              </a:solidFill>
              <a:latin typeface="Verdana" panose="020B0604030504040204" pitchFamily="34" charset="0"/>
              <a:ea typeface="Verdana" panose="020B0604030504040204" pitchFamily="34" charset="0"/>
              <a:cs typeface="+mn-cs"/>
            </a:rPr>
            <a:t>4. No summary &amp; data compilation</a:t>
          </a:r>
          <a:endParaRPr lang="en-IN" sz="1000" b="0" kern="1200">
            <a:solidFill>
              <a:schemeClr val="tx1"/>
            </a:solidFill>
            <a:latin typeface="Verdana" panose="020B0604030504040204" pitchFamily="34" charset="0"/>
            <a:ea typeface="Verdana" panose="020B0604030504040204" pitchFamily="34" charset="0"/>
            <a:cs typeface="+mn-cs"/>
          </a:endParaRPr>
        </a:p>
      </xdr:txBody>
    </xdr:sp>
    <xdr:clientData/>
  </xdr:twoCellAnchor>
  <xdr:twoCellAnchor>
    <xdr:from>
      <xdr:col>1</xdr:col>
      <xdr:colOff>213185</xdr:colOff>
      <xdr:row>29</xdr:row>
      <xdr:rowOff>155775</xdr:rowOff>
    </xdr:from>
    <xdr:to>
      <xdr:col>15</xdr:col>
      <xdr:colOff>171450</xdr:colOff>
      <xdr:row>31</xdr:row>
      <xdr:rowOff>61726</xdr:rowOff>
    </xdr:to>
    <xdr:sp macro="" textlink="">
      <xdr:nvSpPr>
        <xdr:cNvPr id="47" name="TextBox 218">
          <a:extLst>
            <a:ext uri="{FF2B5EF4-FFF2-40B4-BE49-F238E27FC236}">
              <a16:creationId xmlns:a16="http://schemas.microsoft.com/office/drawing/2014/main" id="{00000000-0008-0000-0100-00002F000000}"/>
            </a:ext>
          </a:extLst>
        </xdr:cNvPr>
        <xdr:cNvSpPr txBox="1"/>
      </xdr:nvSpPr>
      <xdr:spPr>
        <a:xfrm>
          <a:off x="552772" y="4885145"/>
          <a:ext cx="3801395" cy="253820"/>
        </a:xfrm>
        <a:prstGeom prst="rect">
          <a:avLst/>
        </a:prstGeom>
        <a:noFill/>
      </xdr:spPr>
      <xdr:txBody>
        <a:bodyPr wrap="square" rtlCol="0" anchor="ctr">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r>
            <a:rPr lang="en-US" sz="1000" b="0" kern="1200">
              <a:solidFill>
                <a:schemeClr val="tx1"/>
              </a:solidFill>
              <a:latin typeface="Verdana" panose="020B0604030504040204" pitchFamily="34" charset="0"/>
              <a:ea typeface="Verdana" panose="020B0604030504040204" pitchFamily="34" charset="0"/>
              <a:cs typeface="+mn-cs"/>
            </a:rPr>
            <a:t>3. Difficult data retrieval</a:t>
          </a:r>
          <a:endParaRPr lang="en-IN" sz="1000" b="0" kern="1200">
            <a:solidFill>
              <a:schemeClr val="tx1"/>
            </a:solidFill>
            <a:latin typeface="Verdana" panose="020B0604030504040204" pitchFamily="34" charset="0"/>
            <a:ea typeface="Verdana" panose="020B0604030504040204" pitchFamily="34" charset="0"/>
            <a:cs typeface="+mn-cs"/>
          </a:endParaRPr>
        </a:p>
      </xdr:txBody>
    </xdr:sp>
    <xdr:clientData/>
  </xdr:twoCellAnchor>
  <xdr:twoCellAnchor>
    <xdr:from>
      <xdr:col>1</xdr:col>
      <xdr:colOff>208679</xdr:colOff>
      <xdr:row>38</xdr:row>
      <xdr:rowOff>13233</xdr:rowOff>
    </xdr:from>
    <xdr:to>
      <xdr:col>14</xdr:col>
      <xdr:colOff>104774</xdr:colOff>
      <xdr:row>40</xdr:row>
      <xdr:rowOff>77451</xdr:rowOff>
    </xdr:to>
    <xdr:sp macro="" textlink="">
      <xdr:nvSpPr>
        <xdr:cNvPr id="48" name="TextBox 62">
          <a:extLst>
            <a:ext uri="{FF2B5EF4-FFF2-40B4-BE49-F238E27FC236}">
              <a16:creationId xmlns:a16="http://schemas.microsoft.com/office/drawing/2014/main" id="{00000000-0008-0000-0100-000030000000}"/>
            </a:ext>
          </a:extLst>
        </xdr:cNvPr>
        <xdr:cNvSpPr txBox="1"/>
      </xdr:nvSpPr>
      <xdr:spPr>
        <a:xfrm>
          <a:off x="551579" y="6252108"/>
          <a:ext cx="3496545" cy="34996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200">
              <a:latin typeface="Yu Gothic Medium" panose="020B0500000000000000" pitchFamily="34" charset="-128"/>
              <a:ea typeface="Yu Gothic Medium" panose="020B0500000000000000" pitchFamily="34" charset="-128"/>
            </a:rPr>
            <a:t>4. Data summary and statistics</a:t>
          </a:r>
        </a:p>
      </xdr:txBody>
    </xdr:sp>
    <xdr:clientData/>
  </xdr:twoCellAnchor>
  <xdr:twoCellAnchor>
    <xdr:from>
      <xdr:col>1</xdr:col>
      <xdr:colOff>194866</xdr:colOff>
      <xdr:row>34</xdr:row>
      <xdr:rowOff>74318</xdr:rowOff>
    </xdr:from>
    <xdr:to>
      <xdr:col>17</xdr:col>
      <xdr:colOff>207065</xdr:colOff>
      <xdr:row>36</xdr:row>
      <xdr:rowOff>19050</xdr:rowOff>
    </xdr:to>
    <xdr:sp macro="" textlink="">
      <xdr:nvSpPr>
        <xdr:cNvPr id="49" name="TextBox 64">
          <a:extLst>
            <a:ext uri="{FF2B5EF4-FFF2-40B4-BE49-F238E27FC236}">
              <a16:creationId xmlns:a16="http://schemas.microsoft.com/office/drawing/2014/main" id="{00000000-0008-0000-0100-000031000000}"/>
            </a:ext>
          </a:extLst>
        </xdr:cNvPr>
        <xdr:cNvSpPr txBox="1"/>
      </xdr:nvSpPr>
      <xdr:spPr>
        <a:xfrm>
          <a:off x="534453" y="5648514"/>
          <a:ext cx="4401982" cy="292601"/>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200">
              <a:latin typeface="Yu Gothic Medium" panose="020B0500000000000000" pitchFamily="34" charset="-128"/>
              <a:ea typeface="Yu Gothic Medium" panose="020B0500000000000000" pitchFamily="34" charset="-128"/>
            </a:rPr>
            <a:t>1. Each format &amp; modules are interlinked (Data automate)</a:t>
          </a:r>
        </a:p>
      </xdr:txBody>
    </xdr:sp>
    <xdr:clientData/>
  </xdr:twoCellAnchor>
  <xdr:twoCellAnchor>
    <xdr:from>
      <xdr:col>1</xdr:col>
      <xdr:colOff>197797</xdr:colOff>
      <xdr:row>35</xdr:row>
      <xdr:rowOff>100454</xdr:rowOff>
    </xdr:from>
    <xdr:to>
      <xdr:col>18</xdr:col>
      <xdr:colOff>0</xdr:colOff>
      <xdr:row>37</xdr:row>
      <xdr:rowOff>19254</xdr:rowOff>
    </xdr:to>
    <xdr:sp macro="" textlink="">
      <xdr:nvSpPr>
        <xdr:cNvPr id="50" name="TextBox 65">
          <a:extLst>
            <a:ext uri="{FF2B5EF4-FFF2-40B4-BE49-F238E27FC236}">
              <a16:creationId xmlns:a16="http://schemas.microsoft.com/office/drawing/2014/main" id="{00000000-0008-0000-0100-000032000000}"/>
            </a:ext>
          </a:extLst>
        </xdr:cNvPr>
        <xdr:cNvSpPr txBox="1"/>
      </xdr:nvSpPr>
      <xdr:spPr>
        <a:xfrm>
          <a:off x="537384" y="5848584"/>
          <a:ext cx="4523290" cy="266670"/>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200">
              <a:latin typeface="Yu Gothic Medium" panose="020B0500000000000000" pitchFamily="34" charset="-128"/>
              <a:ea typeface="Yu Gothic Medium" panose="020B0500000000000000" pitchFamily="34" charset="-128"/>
            </a:rPr>
            <a:t>2. Centralized document &amp;</a:t>
          </a:r>
          <a:r>
            <a:rPr lang="en-US" sz="1200" baseline="0">
              <a:latin typeface="Yu Gothic Medium" panose="020B0500000000000000" pitchFamily="34" charset="-128"/>
              <a:ea typeface="Yu Gothic Medium" panose="020B0500000000000000" pitchFamily="34" charset="-128"/>
            </a:rPr>
            <a:t> data mgmt. time reduce by 30%</a:t>
          </a:r>
          <a:endParaRPr lang="en-US" sz="1200">
            <a:latin typeface="Yu Gothic Medium" panose="020B0500000000000000" pitchFamily="34" charset="-128"/>
            <a:ea typeface="Yu Gothic Medium" panose="020B0500000000000000" pitchFamily="34" charset="-128"/>
          </a:endParaRPr>
        </a:p>
      </xdr:txBody>
    </xdr:sp>
    <xdr:clientData/>
  </xdr:twoCellAnchor>
  <xdr:twoCellAnchor>
    <xdr:from>
      <xdr:col>1</xdr:col>
      <xdr:colOff>200025</xdr:colOff>
      <xdr:row>36</xdr:row>
      <xdr:rowOff>141141</xdr:rowOff>
    </xdr:from>
    <xdr:to>
      <xdr:col>16</xdr:col>
      <xdr:colOff>85725</xdr:colOff>
      <xdr:row>39</xdr:row>
      <xdr:rowOff>33909</xdr:rowOff>
    </xdr:to>
    <xdr:sp macro="" textlink="">
      <xdr:nvSpPr>
        <xdr:cNvPr id="51" name="TextBox 66">
          <a:extLst>
            <a:ext uri="{FF2B5EF4-FFF2-40B4-BE49-F238E27FC236}">
              <a16:creationId xmlns:a16="http://schemas.microsoft.com/office/drawing/2014/main" id="{00000000-0008-0000-0100-000033000000}"/>
            </a:ext>
          </a:extLst>
        </xdr:cNvPr>
        <xdr:cNvSpPr txBox="1"/>
      </xdr:nvSpPr>
      <xdr:spPr>
        <a:xfrm>
          <a:off x="542925" y="6037116"/>
          <a:ext cx="4038600" cy="34996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200">
              <a:latin typeface="Yu Gothic Medium" panose="020B0500000000000000" pitchFamily="34" charset="-128"/>
              <a:ea typeface="Yu Gothic Medium" panose="020B0500000000000000" pitchFamily="34" charset="-128"/>
            </a:rPr>
            <a:t>3. Gallery for good data visualization</a:t>
          </a:r>
        </a:p>
      </xdr:txBody>
    </xdr:sp>
    <xdr:clientData/>
  </xdr:twoCellAnchor>
  <xdr:twoCellAnchor>
    <xdr:from>
      <xdr:col>1</xdr:col>
      <xdr:colOff>228600</xdr:colOff>
      <xdr:row>32</xdr:row>
      <xdr:rowOff>104775</xdr:rowOff>
    </xdr:from>
    <xdr:to>
      <xdr:col>17</xdr:col>
      <xdr:colOff>142875</xdr:colOff>
      <xdr:row>34</xdr:row>
      <xdr:rowOff>73313</xdr:rowOff>
    </xdr:to>
    <xdr:sp macro="" textlink="">
      <xdr:nvSpPr>
        <xdr:cNvPr id="55" name="TextBox 5">
          <a:extLst>
            <a:ext uri="{FF2B5EF4-FFF2-40B4-BE49-F238E27FC236}">
              <a16:creationId xmlns:a16="http://schemas.microsoft.com/office/drawing/2014/main" id="{00000000-0008-0000-0100-000037000000}"/>
            </a:ext>
          </a:extLst>
        </xdr:cNvPr>
        <xdr:cNvSpPr txBox="1"/>
      </xdr:nvSpPr>
      <xdr:spPr>
        <a:xfrm>
          <a:off x="571500" y="5334000"/>
          <a:ext cx="4343400" cy="292388"/>
        </a:xfrm>
        <a:prstGeom prst="rect">
          <a:avLst/>
        </a:prstGeom>
        <a:noFill/>
      </xdr:spPr>
      <xdr:txBody>
        <a:bodyPr wrap="square" rtlCol="0">
          <a:sp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200" b="1">
              <a:solidFill>
                <a:srgbClr val="0000FF"/>
              </a:solidFill>
              <a:latin typeface="BIZ UDPMincho Medium" panose="02020500000000000000" pitchFamily="18" charset="-128"/>
              <a:ea typeface="BIZ UDPMincho Medium" panose="02020500000000000000" pitchFamily="18" charset="-128"/>
            </a:rPr>
            <a:t>Developed In-House  Application   </a:t>
          </a:r>
          <a:endParaRPr lang="en-IN" sz="1200" b="1">
            <a:solidFill>
              <a:srgbClr val="0000FF"/>
            </a:solidFill>
            <a:latin typeface="BIZ UDPMincho Medium" panose="02020500000000000000" pitchFamily="18" charset="-128"/>
            <a:ea typeface="BIZ UDPMincho Medium" panose="02020500000000000000" pitchFamily="18" charset="-128"/>
          </a:endParaRPr>
        </a:p>
      </xdr:txBody>
    </xdr:sp>
    <xdr:clientData/>
  </xdr:twoCellAnchor>
  <xdr:twoCellAnchor>
    <xdr:from>
      <xdr:col>5</xdr:col>
      <xdr:colOff>253545</xdr:colOff>
      <xdr:row>34</xdr:row>
      <xdr:rowOff>45628</xdr:rowOff>
    </xdr:from>
    <xdr:to>
      <xdr:col>6</xdr:col>
      <xdr:colOff>211525</xdr:colOff>
      <xdr:row>34</xdr:row>
      <xdr:rowOff>141145</xdr:rowOff>
    </xdr:to>
    <xdr:sp macro="" textlink="">
      <xdr:nvSpPr>
        <xdr:cNvPr id="9" name="Down Arrow 8">
          <a:extLst>
            <a:ext uri="{FF2B5EF4-FFF2-40B4-BE49-F238E27FC236}">
              <a16:creationId xmlns:a16="http://schemas.microsoft.com/office/drawing/2014/main" id="{00000000-0008-0000-0100-000009000000}"/>
            </a:ext>
          </a:extLst>
        </xdr:cNvPr>
        <xdr:cNvSpPr/>
      </xdr:nvSpPr>
      <xdr:spPr bwMode="auto">
        <a:xfrm>
          <a:off x="1736132" y="5619824"/>
          <a:ext cx="231306" cy="95517"/>
        </a:xfrm>
        <a:prstGeom prst="downArrow">
          <a:avLst/>
        </a:pr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IN" sz="1100"/>
        </a:p>
      </xdr:txBody>
    </xdr:sp>
    <xdr:clientData/>
  </xdr:twoCellAnchor>
  <xdr:twoCellAnchor>
    <xdr:from>
      <xdr:col>12</xdr:col>
      <xdr:colOff>63196</xdr:colOff>
      <xdr:row>32</xdr:row>
      <xdr:rowOff>69837</xdr:rowOff>
    </xdr:from>
    <xdr:to>
      <xdr:col>18</xdr:col>
      <xdr:colOff>28575</xdr:colOff>
      <xdr:row>34</xdr:row>
      <xdr:rowOff>25774</xdr:rowOff>
    </xdr:to>
    <xdr:sp macro="" textlink="">
      <xdr:nvSpPr>
        <xdr:cNvPr id="56" name="TextBox 64">
          <a:extLst>
            <a:ext uri="{FF2B5EF4-FFF2-40B4-BE49-F238E27FC236}">
              <a16:creationId xmlns:a16="http://schemas.microsoft.com/office/drawing/2014/main" id="{00000000-0008-0000-0100-000038000000}"/>
            </a:ext>
          </a:extLst>
        </xdr:cNvPr>
        <xdr:cNvSpPr txBox="1"/>
      </xdr:nvSpPr>
      <xdr:spPr>
        <a:xfrm>
          <a:off x="3492196" y="5299062"/>
          <a:ext cx="1641779" cy="279787"/>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1100">
              <a:latin typeface="Yu Gothic Medium" panose="020B0500000000000000" pitchFamily="34" charset="-128"/>
              <a:ea typeface="Yu Gothic Medium" panose="020B0500000000000000" pitchFamily="34" charset="-128"/>
            </a:rPr>
            <a:t>(Data fill in Tab)</a:t>
          </a:r>
        </a:p>
      </xdr:txBody>
    </xdr:sp>
    <xdr:clientData/>
  </xdr:twoCellAnchor>
  <xdr:twoCellAnchor editAs="oneCell">
    <xdr:from>
      <xdr:col>32</xdr:col>
      <xdr:colOff>85725</xdr:colOff>
      <xdr:row>28</xdr:row>
      <xdr:rowOff>38100</xdr:rowOff>
    </xdr:from>
    <xdr:to>
      <xdr:col>37</xdr:col>
      <xdr:colOff>657224</xdr:colOff>
      <xdr:row>33</xdr:row>
      <xdr:rowOff>133350</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2"/>
        <a:stretch>
          <a:fillRect/>
        </a:stretch>
      </xdr:blipFill>
      <xdr:spPr>
        <a:xfrm>
          <a:off x="10287000" y="4591050"/>
          <a:ext cx="4000499" cy="923925"/>
        </a:xfrm>
        <a:prstGeom prst="rect">
          <a:avLst/>
        </a:prstGeom>
      </xdr:spPr>
    </xdr:pic>
    <xdr:clientData/>
  </xdr:twoCellAnchor>
  <xdr:twoCellAnchor editAs="oneCell">
    <xdr:from>
      <xdr:col>2</xdr:col>
      <xdr:colOff>21536</xdr:colOff>
      <xdr:row>20</xdr:row>
      <xdr:rowOff>25673</xdr:rowOff>
    </xdr:from>
    <xdr:to>
      <xdr:col>11</xdr:col>
      <xdr:colOff>116786</xdr:colOff>
      <xdr:row>26</xdr:row>
      <xdr:rowOff>112523</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3"/>
        <a:stretch>
          <a:fillRect/>
        </a:stretch>
      </xdr:blipFill>
      <xdr:spPr>
        <a:xfrm>
          <a:off x="634449" y="3346999"/>
          <a:ext cx="2604880" cy="981372"/>
        </a:xfrm>
        <a:prstGeom prst="rect">
          <a:avLst/>
        </a:prstGeom>
      </xdr:spPr>
    </xdr:pic>
    <xdr:clientData/>
  </xdr:twoCellAnchor>
  <xdr:twoCellAnchor editAs="oneCell">
    <xdr:from>
      <xdr:col>11</xdr:col>
      <xdr:colOff>124239</xdr:colOff>
      <xdr:row>20</xdr:row>
      <xdr:rowOff>33129</xdr:rowOff>
    </xdr:from>
    <xdr:to>
      <xdr:col>16</xdr:col>
      <xdr:colOff>248545</xdr:colOff>
      <xdr:row>24</xdr:row>
      <xdr:rowOff>107671</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4"/>
        <a:stretch>
          <a:fillRect/>
        </a:stretch>
      </xdr:blipFill>
      <xdr:spPr>
        <a:xfrm>
          <a:off x="3246782" y="3354455"/>
          <a:ext cx="1457806" cy="770281"/>
        </a:xfrm>
        <a:prstGeom prst="rect">
          <a:avLst/>
        </a:prstGeom>
      </xdr:spPr>
    </xdr:pic>
    <xdr:clientData/>
  </xdr:twoCellAnchor>
  <xdr:twoCellAnchor>
    <xdr:from>
      <xdr:col>10</xdr:col>
      <xdr:colOff>207065</xdr:colOff>
      <xdr:row>26</xdr:row>
      <xdr:rowOff>49696</xdr:rowOff>
    </xdr:from>
    <xdr:to>
      <xdr:col>17</xdr:col>
      <xdr:colOff>160480</xdr:colOff>
      <xdr:row>27</xdr:row>
      <xdr:rowOff>87337</xdr:rowOff>
    </xdr:to>
    <xdr:sp macro="" textlink="">
      <xdr:nvSpPr>
        <xdr:cNvPr id="15" name="Freeform: Shape 14">
          <a:extLst>
            <a:ext uri="{FF2B5EF4-FFF2-40B4-BE49-F238E27FC236}">
              <a16:creationId xmlns:a16="http://schemas.microsoft.com/office/drawing/2014/main" id="{00000000-0008-0000-0100-00000F000000}"/>
            </a:ext>
          </a:extLst>
        </xdr:cNvPr>
        <xdr:cNvSpPr/>
      </xdr:nvSpPr>
      <xdr:spPr>
        <a:xfrm>
          <a:off x="3056282" y="4265544"/>
          <a:ext cx="1833568" cy="211576"/>
        </a:xfrm>
        <a:custGeom>
          <a:avLst/>
          <a:gdLst>
            <a:gd name="connsiteX0" fmla="*/ 0 w 898818"/>
            <a:gd name="connsiteY0" fmla="*/ 0 h 261474"/>
            <a:gd name="connsiteX1" fmla="*/ 898818 w 898818"/>
            <a:gd name="connsiteY1" fmla="*/ 0 h 261474"/>
            <a:gd name="connsiteX2" fmla="*/ 898818 w 898818"/>
            <a:gd name="connsiteY2" fmla="*/ 261474 h 261474"/>
            <a:gd name="connsiteX3" fmla="*/ 0 w 898818"/>
            <a:gd name="connsiteY3" fmla="*/ 261474 h 261474"/>
            <a:gd name="connsiteX4" fmla="*/ 0 w 898818"/>
            <a:gd name="connsiteY4" fmla="*/ 0 h 261474"/>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98818" h="261474">
              <a:moveTo>
                <a:pt x="0" y="0"/>
              </a:moveTo>
              <a:lnTo>
                <a:pt x="898818" y="0"/>
              </a:lnTo>
              <a:lnTo>
                <a:pt x="898818" y="261474"/>
              </a:lnTo>
              <a:lnTo>
                <a:pt x="0" y="261474"/>
              </a:lnTo>
              <a:lnTo>
                <a:pt x="0" y="0"/>
              </a:lnTo>
              <a:close/>
            </a:path>
          </a:pathLst>
        </a:custGeom>
        <a:noFill/>
        <a:ln>
          <a:noFill/>
        </a:ln>
        <a:effectLst/>
      </xdr:spPr>
      <xdr:txBody>
        <a:bodyPr spcFirstLastPara="0" vert="horz" wrap="square" lIns="8890" tIns="8890" rIns="8890" bIns="8890" numCol="1" spcCol="1270" anchor="t" anchorCtr="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marR="0" lvl="0" indent="0" algn="ctr" defTabSz="311150" rtl="0" eaLnBrk="1" fontAlgn="auto" latinLnBrk="0" hangingPunct="1">
            <a:lnSpc>
              <a:spcPct val="90000"/>
            </a:lnSpc>
            <a:spcBef>
              <a:spcPct val="0"/>
            </a:spcBef>
            <a:spcAft>
              <a:spcPct val="35000"/>
            </a:spcAft>
            <a:buClrTx/>
            <a:buSzTx/>
            <a:buFontTx/>
            <a:buNone/>
            <a:tabLst/>
            <a:defRPr/>
          </a:pPr>
          <a:r>
            <a:rPr kumimoji="0" lang="en-US" sz="900" b="1" i="1" u="none" strike="noStrike" kern="0" cap="none" spc="0" normalizeH="0" baseline="0">
              <a:ln>
                <a:noFill/>
              </a:ln>
              <a:solidFill>
                <a:srgbClr val="C00000"/>
              </a:solidFill>
              <a:effectLst/>
              <a:uLnTx/>
              <a:uFillTx/>
              <a:latin typeface="Verdana"/>
              <a:ea typeface="+mn-ea"/>
              <a:cs typeface="+mn-cs"/>
            </a:rPr>
            <a:t>Delayed Improvement</a:t>
          </a:r>
          <a:endParaRPr kumimoji="0" lang="en-IN" sz="900" b="0" i="1" u="none" strike="noStrike" kern="0" cap="none" spc="0" normalizeH="0" baseline="0">
            <a:ln>
              <a:noFill/>
            </a:ln>
            <a:solidFill>
              <a:prstClr val="black">
                <a:hueOff val="0"/>
                <a:satOff val="0"/>
                <a:lumOff val="0"/>
                <a:alphaOff val="0"/>
              </a:prstClr>
            </a:solidFill>
            <a:effectLst/>
            <a:uLnTx/>
            <a:uFillTx/>
            <a:latin typeface="Verdana"/>
            <a:ea typeface="+mn-ea"/>
            <a:cs typeface="+mn-cs"/>
          </a:endParaRPr>
        </a:p>
      </xdr:txBody>
    </xdr:sp>
    <xdr:clientData/>
  </xdr:twoCellAnchor>
  <xdr:twoCellAnchor>
    <xdr:from>
      <xdr:col>13</xdr:col>
      <xdr:colOff>173934</xdr:colOff>
      <xdr:row>24</xdr:row>
      <xdr:rowOff>149086</xdr:rowOff>
    </xdr:from>
    <xdr:to>
      <xdr:col>14</xdr:col>
      <xdr:colOff>215348</xdr:colOff>
      <xdr:row>26</xdr:row>
      <xdr:rowOff>57977</xdr:rowOff>
    </xdr:to>
    <xdr:sp macro="" textlink="">
      <xdr:nvSpPr>
        <xdr:cNvPr id="16" name="Arrow: Down 15">
          <a:extLst>
            <a:ext uri="{FF2B5EF4-FFF2-40B4-BE49-F238E27FC236}">
              <a16:creationId xmlns:a16="http://schemas.microsoft.com/office/drawing/2014/main" id="{00000000-0008-0000-0100-000010000000}"/>
            </a:ext>
          </a:extLst>
        </xdr:cNvPr>
        <xdr:cNvSpPr/>
      </xdr:nvSpPr>
      <xdr:spPr bwMode="auto">
        <a:xfrm>
          <a:off x="3843130" y="4166151"/>
          <a:ext cx="281609" cy="107674"/>
        </a:xfrm>
        <a:prstGeom prst="downArrow">
          <a:avLst/>
        </a:pr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5</xdr:row>
      <xdr:rowOff>161925</xdr:rowOff>
    </xdr:from>
    <xdr:to>
      <xdr:col>9</xdr:col>
      <xdr:colOff>847725</xdr:colOff>
      <xdr:row>25</xdr:row>
      <xdr:rowOff>161925</xdr:rowOff>
    </xdr:to>
    <xdr:graphicFrame macro="">
      <xdr:nvGraphicFramePr>
        <xdr:cNvPr id="9217" name="Chart 4">
          <a:extLst>
            <a:ext uri="{FF2B5EF4-FFF2-40B4-BE49-F238E27FC236}">
              <a16:creationId xmlns:a16="http://schemas.microsoft.com/office/drawing/2014/main" id="{00000000-0008-0000-0200-000001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3095626</xdr:colOff>
      <xdr:row>6</xdr:row>
      <xdr:rowOff>96612</xdr:rowOff>
    </xdr:from>
    <xdr:ext cx="496674" cy="342786"/>
    <xdr:sp macro="" textlink="$W$36">
      <xdr:nvSpPr>
        <xdr:cNvPr id="3" name="TextBox 2">
          <a:extLst>
            <a:ext uri="{FF2B5EF4-FFF2-40B4-BE49-F238E27FC236}">
              <a16:creationId xmlns:a16="http://schemas.microsoft.com/office/drawing/2014/main" id="{00000000-0008-0000-0200-000003000000}"/>
            </a:ext>
          </a:extLst>
        </xdr:cNvPr>
        <xdr:cNvSpPr txBox="1"/>
      </xdr:nvSpPr>
      <xdr:spPr>
        <a:xfrm>
          <a:off x="4384302" y="1710259"/>
          <a:ext cx="496674" cy="342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D70FF3C-801E-4B52-BDCA-43891F9E348C}" type="TxLink">
            <a:rPr lang="en-US" sz="1600" b="1"/>
            <a:pPr/>
            <a:t>150</a:t>
          </a:fld>
          <a:endParaRPr lang="en-US" sz="1600" b="1"/>
        </a:p>
      </xdr:txBody>
    </xdr:sp>
    <xdr:clientData/>
  </xdr:oneCellAnchor>
  <xdr:oneCellAnchor>
    <xdr:from>
      <xdr:col>5</xdr:col>
      <xdr:colOff>576946</xdr:colOff>
      <xdr:row>6</xdr:row>
      <xdr:rowOff>81641</xdr:rowOff>
    </xdr:from>
    <xdr:ext cx="892625" cy="381002"/>
    <xdr:sp macro="" textlink="$X$36">
      <xdr:nvSpPr>
        <xdr:cNvPr id="4" name="TextBox 3">
          <a:extLst>
            <a:ext uri="{FF2B5EF4-FFF2-40B4-BE49-F238E27FC236}">
              <a16:creationId xmlns:a16="http://schemas.microsoft.com/office/drawing/2014/main" id="{00000000-0008-0000-0200-000004000000}"/>
            </a:ext>
          </a:extLst>
        </xdr:cNvPr>
        <xdr:cNvSpPr txBox="1"/>
      </xdr:nvSpPr>
      <xdr:spPr>
        <a:xfrm>
          <a:off x="6754589" y="1714498"/>
          <a:ext cx="892625" cy="38100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8C932E6-C0C3-4BDC-A519-E9386AE226AB}" type="TxLink">
            <a:rPr lang="en-US" sz="1600" b="1"/>
            <a:pPr/>
            <a:t>300</a:t>
          </a:fld>
          <a:endParaRPr lang="en-US" sz="1600" b="1"/>
        </a:p>
      </xdr:txBody>
    </xdr:sp>
    <xdr:clientData/>
  </xdr:oneCellAnchor>
  <xdr:oneCellAnchor>
    <xdr:from>
      <xdr:col>2</xdr:col>
      <xdr:colOff>835480</xdr:colOff>
      <xdr:row>5</xdr:row>
      <xdr:rowOff>149680</xdr:rowOff>
    </xdr:from>
    <xdr:ext cx="496674" cy="342786"/>
    <xdr:sp macro="" textlink="$V$36">
      <xdr:nvSpPr>
        <xdr:cNvPr id="5" name="TextBox 4">
          <a:extLst>
            <a:ext uri="{FF2B5EF4-FFF2-40B4-BE49-F238E27FC236}">
              <a16:creationId xmlns:a16="http://schemas.microsoft.com/office/drawing/2014/main" id="{00000000-0008-0000-0200-000005000000}"/>
            </a:ext>
          </a:extLst>
        </xdr:cNvPr>
        <xdr:cNvSpPr txBox="1"/>
      </xdr:nvSpPr>
      <xdr:spPr>
        <a:xfrm>
          <a:off x="2124156" y="1606445"/>
          <a:ext cx="496674" cy="342786"/>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1DE8C13-B983-41FD-9AEF-6F09AEBD78C2}" type="TxLink">
            <a:rPr lang="en-US" sz="1600" b="1"/>
            <a:pPr/>
            <a:t>300</a:t>
          </a:fld>
          <a:endParaRPr lang="en-US" sz="1600" b="1"/>
        </a:p>
      </xdr:txBody>
    </xdr:sp>
    <xdr:clientData/>
  </xdr:oneCellAnchor>
  <xdr:oneCellAnchor>
    <xdr:from>
      <xdr:col>7</xdr:col>
      <xdr:colOff>821871</xdr:colOff>
      <xdr:row>36</xdr:row>
      <xdr:rowOff>121104</xdr:rowOff>
    </xdr:from>
    <xdr:ext cx="65" cy="17222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8686800" y="7400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39</xdr:col>
      <xdr:colOff>38100</xdr:colOff>
      <xdr:row>47</xdr:row>
      <xdr:rowOff>28575</xdr:rowOff>
    </xdr:from>
    <xdr:to>
      <xdr:col>40</xdr:col>
      <xdr:colOff>28575</xdr:colOff>
      <xdr:row>47</xdr:row>
      <xdr:rowOff>219075</xdr:rowOff>
    </xdr:to>
    <xdr:sp macro="" textlink="">
      <xdr:nvSpPr>
        <xdr:cNvPr id="2" name="AutoShape 3">
          <a:extLst>
            <a:ext uri="{FF2B5EF4-FFF2-40B4-BE49-F238E27FC236}">
              <a16:creationId xmlns:a16="http://schemas.microsoft.com/office/drawing/2014/main" id="{00000000-0008-0000-0300-000002000000}"/>
            </a:ext>
          </a:extLst>
        </xdr:cNvPr>
        <xdr:cNvSpPr>
          <a:spLocks noChangeArrowheads="1"/>
        </xdr:cNvSpPr>
      </xdr:nvSpPr>
      <xdr:spPr bwMode="auto">
        <a:xfrm>
          <a:off x="8096250" y="8258175"/>
          <a:ext cx="190500" cy="0"/>
        </a:xfrm>
        <a:prstGeom prst="downArrow">
          <a:avLst>
            <a:gd name="adj1" fmla="val 50000"/>
            <a:gd name="adj2" fmla="val -2147483648"/>
          </a:avLst>
        </a:prstGeom>
        <a:solidFill>
          <a:srgbClr val="969696"/>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30</xdr:row>
      <xdr:rowOff>9525</xdr:rowOff>
    </xdr:from>
    <xdr:to>
      <xdr:col>1</xdr:col>
      <xdr:colOff>0</xdr:colOff>
      <xdr:row>56</xdr:row>
      <xdr:rowOff>0</xdr:rowOff>
    </xdr:to>
    <xdr:cxnSp macro="">
      <xdr:nvCxnSpPr>
        <xdr:cNvPr id="11265" name="Straight Connector 35">
          <a:extLst>
            <a:ext uri="{FF2B5EF4-FFF2-40B4-BE49-F238E27FC236}">
              <a16:creationId xmlns:a16="http://schemas.microsoft.com/office/drawing/2014/main" id="{00000000-0008-0000-0400-0000012C0000}"/>
            </a:ext>
          </a:extLst>
        </xdr:cNvPr>
        <xdr:cNvCxnSpPr>
          <a:cxnSpLocks noChangeShapeType="1"/>
        </xdr:cNvCxnSpPr>
      </xdr:nvCxnSpPr>
      <xdr:spPr bwMode="auto">
        <a:xfrm>
          <a:off x="123825" y="5448300"/>
          <a:ext cx="0" cy="4695825"/>
        </a:xfrm>
        <a:prstGeom prst="line">
          <a:avLst/>
        </a:prstGeom>
        <a:noFill/>
        <a:ln w="9525" algn="ctr">
          <a:solidFill>
            <a:srgbClr val="000000"/>
          </a:solidFill>
          <a:round/>
          <a:headEnd/>
          <a:tailEnd/>
        </a:ln>
      </xdr:spPr>
    </xdr:cxnSp>
    <xdr:clientData/>
  </xdr:twoCellAnchor>
  <xdr:twoCellAnchor>
    <xdr:from>
      <xdr:col>1</xdr:col>
      <xdr:colOff>0</xdr:colOff>
      <xdr:row>30</xdr:row>
      <xdr:rowOff>0</xdr:rowOff>
    </xdr:from>
    <xdr:to>
      <xdr:col>1</xdr:col>
      <xdr:colOff>0</xdr:colOff>
      <xdr:row>56</xdr:row>
      <xdr:rowOff>0</xdr:rowOff>
    </xdr:to>
    <xdr:cxnSp macro="">
      <xdr:nvCxnSpPr>
        <xdr:cNvPr id="11266" name="Straight Connector 36">
          <a:extLst>
            <a:ext uri="{FF2B5EF4-FFF2-40B4-BE49-F238E27FC236}">
              <a16:creationId xmlns:a16="http://schemas.microsoft.com/office/drawing/2014/main" id="{00000000-0008-0000-0400-0000022C0000}"/>
            </a:ext>
          </a:extLst>
        </xdr:cNvPr>
        <xdr:cNvCxnSpPr>
          <a:cxnSpLocks noChangeShapeType="1"/>
        </xdr:cNvCxnSpPr>
      </xdr:nvCxnSpPr>
      <xdr:spPr bwMode="auto">
        <a:xfrm flipV="1">
          <a:off x="123825" y="5438775"/>
          <a:ext cx="0" cy="4705350"/>
        </a:xfrm>
        <a:prstGeom prst="line">
          <a:avLst/>
        </a:prstGeom>
        <a:noFill/>
        <a:ln w="9525" algn="ctr">
          <a:solidFill>
            <a:srgbClr val="000000"/>
          </a:solidFill>
          <a:round/>
          <a:headEnd/>
          <a:tailEn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161925</xdr:colOff>
      <xdr:row>54</xdr:row>
      <xdr:rowOff>9525</xdr:rowOff>
    </xdr:from>
    <xdr:to>
      <xdr:col>1</xdr:col>
      <xdr:colOff>161925</xdr:colOff>
      <xdr:row>56</xdr:row>
      <xdr:rowOff>104775</xdr:rowOff>
    </xdr:to>
    <xdr:sp macro="" textlink="">
      <xdr:nvSpPr>
        <xdr:cNvPr id="2" name="Line 40">
          <a:extLst>
            <a:ext uri="{FF2B5EF4-FFF2-40B4-BE49-F238E27FC236}">
              <a16:creationId xmlns:a16="http://schemas.microsoft.com/office/drawing/2014/main" id="{00000000-0008-0000-0500-000002000000}"/>
            </a:ext>
          </a:extLst>
        </xdr:cNvPr>
        <xdr:cNvSpPr>
          <a:spLocks noChangeShapeType="1"/>
        </xdr:cNvSpPr>
      </xdr:nvSpPr>
      <xdr:spPr bwMode="auto">
        <a:xfrm flipH="1">
          <a:off x="438150" y="9191625"/>
          <a:ext cx="0" cy="438150"/>
        </a:xfrm>
        <a:prstGeom prst="line">
          <a:avLst/>
        </a:prstGeom>
        <a:noFill/>
        <a:ln w="9525">
          <a:solidFill>
            <a:srgbClr val="000000"/>
          </a:solidFill>
          <a:round/>
          <a:headEnd/>
          <a:tailEnd/>
        </a:ln>
      </xdr:spPr>
    </xdr:sp>
    <xdr:clientData/>
  </xdr:twoCellAnchor>
  <xdr:twoCellAnchor>
    <xdr:from>
      <xdr:col>1</xdr:col>
      <xdr:colOff>161925</xdr:colOff>
      <xdr:row>54</xdr:row>
      <xdr:rowOff>104775</xdr:rowOff>
    </xdr:from>
    <xdr:to>
      <xdr:col>1</xdr:col>
      <xdr:colOff>266700</xdr:colOff>
      <xdr:row>54</xdr:row>
      <xdr:rowOff>104775</xdr:rowOff>
    </xdr:to>
    <xdr:sp macro="" textlink="">
      <xdr:nvSpPr>
        <xdr:cNvPr id="3" name="Line 41">
          <a:extLst>
            <a:ext uri="{FF2B5EF4-FFF2-40B4-BE49-F238E27FC236}">
              <a16:creationId xmlns:a16="http://schemas.microsoft.com/office/drawing/2014/main" id="{00000000-0008-0000-0500-000003000000}"/>
            </a:ext>
          </a:extLst>
        </xdr:cNvPr>
        <xdr:cNvSpPr>
          <a:spLocks noChangeShapeType="1"/>
        </xdr:cNvSpPr>
      </xdr:nvSpPr>
      <xdr:spPr bwMode="auto">
        <a:xfrm>
          <a:off x="438150" y="9286875"/>
          <a:ext cx="104775" cy="0"/>
        </a:xfrm>
        <a:prstGeom prst="line">
          <a:avLst/>
        </a:prstGeom>
        <a:noFill/>
        <a:ln w="9525">
          <a:solidFill>
            <a:srgbClr val="000000"/>
          </a:solidFill>
          <a:round/>
          <a:headEnd/>
          <a:tailEnd/>
        </a:ln>
      </xdr:spPr>
    </xdr:sp>
    <xdr:clientData/>
  </xdr:twoCellAnchor>
  <xdr:twoCellAnchor>
    <xdr:from>
      <xdr:col>1</xdr:col>
      <xdr:colOff>161925</xdr:colOff>
      <xdr:row>55</xdr:row>
      <xdr:rowOff>104775</xdr:rowOff>
    </xdr:from>
    <xdr:to>
      <xdr:col>1</xdr:col>
      <xdr:colOff>266700</xdr:colOff>
      <xdr:row>55</xdr:row>
      <xdr:rowOff>104775</xdr:rowOff>
    </xdr:to>
    <xdr:sp macro="" textlink="">
      <xdr:nvSpPr>
        <xdr:cNvPr id="4" name="Line 42">
          <a:extLst>
            <a:ext uri="{FF2B5EF4-FFF2-40B4-BE49-F238E27FC236}">
              <a16:creationId xmlns:a16="http://schemas.microsoft.com/office/drawing/2014/main" id="{00000000-0008-0000-0500-000004000000}"/>
            </a:ext>
          </a:extLst>
        </xdr:cNvPr>
        <xdr:cNvSpPr>
          <a:spLocks noChangeShapeType="1"/>
        </xdr:cNvSpPr>
      </xdr:nvSpPr>
      <xdr:spPr bwMode="auto">
        <a:xfrm>
          <a:off x="438150" y="9458325"/>
          <a:ext cx="104775" cy="0"/>
        </a:xfrm>
        <a:prstGeom prst="line">
          <a:avLst/>
        </a:prstGeom>
        <a:noFill/>
        <a:ln w="9525">
          <a:solidFill>
            <a:srgbClr val="000000"/>
          </a:solidFill>
          <a:round/>
          <a:headEnd/>
          <a:tailEnd/>
        </a:ln>
      </xdr:spPr>
    </xdr:sp>
    <xdr:clientData/>
  </xdr:twoCellAnchor>
  <xdr:twoCellAnchor>
    <xdr:from>
      <xdr:col>1</xdr:col>
      <xdr:colOff>161925</xdr:colOff>
      <xdr:row>56</xdr:row>
      <xdr:rowOff>104775</xdr:rowOff>
    </xdr:from>
    <xdr:to>
      <xdr:col>1</xdr:col>
      <xdr:colOff>266700</xdr:colOff>
      <xdr:row>56</xdr:row>
      <xdr:rowOff>104775</xdr:rowOff>
    </xdr:to>
    <xdr:sp macro="" textlink="">
      <xdr:nvSpPr>
        <xdr:cNvPr id="5" name="Line 43">
          <a:extLst>
            <a:ext uri="{FF2B5EF4-FFF2-40B4-BE49-F238E27FC236}">
              <a16:creationId xmlns:a16="http://schemas.microsoft.com/office/drawing/2014/main" id="{00000000-0008-0000-0500-000005000000}"/>
            </a:ext>
          </a:extLst>
        </xdr:cNvPr>
        <xdr:cNvSpPr>
          <a:spLocks noChangeShapeType="1"/>
        </xdr:cNvSpPr>
      </xdr:nvSpPr>
      <xdr:spPr bwMode="auto">
        <a:xfrm>
          <a:off x="438150" y="9629775"/>
          <a:ext cx="104775" cy="0"/>
        </a:xfrm>
        <a:prstGeom prst="line">
          <a:avLst/>
        </a:prstGeom>
        <a:noFill/>
        <a:ln w="9525">
          <a:solidFill>
            <a:srgbClr val="000000"/>
          </a:solidFill>
          <a:round/>
          <a:headEnd/>
          <a:tailEnd/>
        </a:ln>
      </xdr:spPr>
    </xdr:sp>
    <xdr:clientData/>
  </xdr:twoCellAnchor>
  <xdr:twoCellAnchor>
    <xdr:from>
      <xdr:col>6</xdr:col>
      <xdr:colOff>0</xdr:colOff>
      <xdr:row>49</xdr:row>
      <xdr:rowOff>0</xdr:rowOff>
    </xdr:from>
    <xdr:to>
      <xdr:col>7</xdr:col>
      <xdr:colOff>0</xdr:colOff>
      <xdr:row>51</xdr:row>
      <xdr:rowOff>0</xdr:rowOff>
    </xdr:to>
    <xdr:sp macro="" textlink="">
      <xdr:nvSpPr>
        <xdr:cNvPr id="6" name="テキスト 44">
          <a:extLst>
            <a:ext uri="{FF2B5EF4-FFF2-40B4-BE49-F238E27FC236}">
              <a16:creationId xmlns:a16="http://schemas.microsoft.com/office/drawing/2014/main" id="{00000000-0008-0000-0500-000006000000}"/>
            </a:ext>
          </a:extLst>
        </xdr:cNvPr>
        <xdr:cNvSpPr txBox="1">
          <a:spLocks noChangeArrowheads="1"/>
        </xdr:cNvSpPr>
      </xdr:nvSpPr>
      <xdr:spPr bwMode="auto">
        <a:xfrm>
          <a:off x="1657350" y="8343900"/>
          <a:ext cx="276225" cy="342900"/>
        </a:xfrm>
        <a:prstGeom prst="rect">
          <a:avLst/>
        </a:prstGeom>
        <a:noFill/>
        <a:ln>
          <a:noFill/>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ゴシック"/>
              <a:ea typeface="ＭＳ Ｐゴシック"/>
            </a:rPr>
            <a:t>＝</a:t>
          </a:r>
        </a:p>
      </xdr:txBody>
    </xdr:sp>
    <xdr:clientData/>
  </xdr:twoCellAnchor>
  <xdr:twoCellAnchor>
    <xdr:from>
      <xdr:col>1</xdr:col>
      <xdr:colOff>0</xdr:colOff>
      <xdr:row>0</xdr:row>
      <xdr:rowOff>0</xdr:rowOff>
    </xdr:from>
    <xdr:to>
      <xdr:col>4</xdr:col>
      <xdr:colOff>85725</xdr:colOff>
      <xdr:row>2</xdr:row>
      <xdr:rowOff>38100</xdr:rowOff>
    </xdr:to>
    <xdr:pic>
      <xdr:nvPicPr>
        <xdr:cNvPr id="7" name="Picture 57" descr="DENSO_RED_734mm_RGB_72dpi">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6225" y="0"/>
          <a:ext cx="914400" cy="295275"/>
        </a:xfrm>
        <a:prstGeom prst="rect">
          <a:avLst/>
        </a:prstGeom>
        <a:noFill/>
        <a:ln w="9525">
          <a:noFill/>
          <a:miter lim="800000"/>
          <a:headEnd/>
          <a:tailEnd/>
        </a:ln>
      </xdr:spPr>
    </xdr:pic>
    <xdr:clientData/>
  </xdr:twoCellAnchor>
  <xdr:twoCellAnchor>
    <xdr:from>
      <xdr:col>5</xdr:col>
      <xdr:colOff>38100</xdr:colOff>
      <xdr:row>54</xdr:row>
      <xdr:rowOff>85725</xdr:rowOff>
    </xdr:from>
    <xdr:to>
      <xdr:col>5</xdr:col>
      <xdr:colOff>209550</xdr:colOff>
      <xdr:row>54</xdr:row>
      <xdr:rowOff>85725</xdr:rowOff>
    </xdr:to>
    <xdr:cxnSp macro="">
      <xdr:nvCxnSpPr>
        <xdr:cNvPr id="8" name="Straight Arrow Connector 2">
          <a:extLst>
            <a:ext uri="{FF2B5EF4-FFF2-40B4-BE49-F238E27FC236}">
              <a16:creationId xmlns:a16="http://schemas.microsoft.com/office/drawing/2014/main" id="{00000000-0008-0000-0500-000008000000}"/>
            </a:ext>
          </a:extLst>
        </xdr:cNvPr>
        <xdr:cNvCxnSpPr>
          <a:cxnSpLocks noChangeShapeType="1"/>
        </xdr:cNvCxnSpPr>
      </xdr:nvCxnSpPr>
      <xdr:spPr bwMode="auto">
        <a:xfrm>
          <a:off x="1419225" y="9267825"/>
          <a:ext cx="171450" cy="0"/>
        </a:xfrm>
        <a:prstGeom prst="straightConnector1">
          <a:avLst/>
        </a:prstGeom>
        <a:noFill/>
        <a:ln w="9525" algn="ctr">
          <a:solidFill>
            <a:srgbClr val="000000"/>
          </a:solidFill>
          <a:round/>
          <a:headEnd/>
          <a:tailEnd type="arrow" w="med" len="med"/>
        </a:ln>
      </xdr:spPr>
    </xdr:cxnSp>
    <xdr:clientData/>
  </xdr:twoCellAnchor>
  <xdr:twoCellAnchor>
    <xdr:from>
      <xdr:col>16</xdr:col>
      <xdr:colOff>95250</xdr:colOff>
      <xdr:row>49</xdr:row>
      <xdr:rowOff>85725</xdr:rowOff>
    </xdr:from>
    <xdr:to>
      <xdr:col>16</xdr:col>
      <xdr:colOff>266700</xdr:colOff>
      <xdr:row>49</xdr:row>
      <xdr:rowOff>85725</xdr:rowOff>
    </xdr:to>
    <xdr:cxnSp macro="">
      <xdr:nvCxnSpPr>
        <xdr:cNvPr id="9" name="Straight Arrow Connector 74">
          <a:extLst>
            <a:ext uri="{FF2B5EF4-FFF2-40B4-BE49-F238E27FC236}">
              <a16:creationId xmlns:a16="http://schemas.microsoft.com/office/drawing/2014/main" id="{00000000-0008-0000-0500-000009000000}"/>
            </a:ext>
          </a:extLst>
        </xdr:cNvPr>
        <xdr:cNvCxnSpPr>
          <a:cxnSpLocks noChangeShapeType="1"/>
        </xdr:cNvCxnSpPr>
      </xdr:nvCxnSpPr>
      <xdr:spPr bwMode="auto">
        <a:xfrm flipH="1">
          <a:off x="4686300" y="842962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55</xdr:row>
      <xdr:rowOff>85725</xdr:rowOff>
    </xdr:from>
    <xdr:to>
      <xdr:col>12</xdr:col>
      <xdr:colOff>209550</xdr:colOff>
      <xdr:row>55</xdr:row>
      <xdr:rowOff>85725</xdr:rowOff>
    </xdr:to>
    <xdr:cxnSp macro="">
      <xdr:nvCxnSpPr>
        <xdr:cNvPr id="10" name="Straight Arrow Connector 75">
          <a:extLst>
            <a:ext uri="{FF2B5EF4-FFF2-40B4-BE49-F238E27FC236}">
              <a16:creationId xmlns:a16="http://schemas.microsoft.com/office/drawing/2014/main" id="{00000000-0008-0000-0500-00000A000000}"/>
            </a:ext>
          </a:extLst>
        </xdr:cNvPr>
        <xdr:cNvCxnSpPr>
          <a:cxnSpLocks noChangeShapeType="1"/>
        </xdr:cNvCxnSpPr>
      </xdr:nvCxnSpPr>
      <xdr:spPr bwMode="auto">
        <a:xfrm>
          <a:off x="3457575" y="943927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56</xdr:row>
      <xdr:rowOff>85725</xdr:rowOff>
    </xdr:from>
    <xdr:to>
      <xdr:col>12</xdr:col>
      <xdr:colOff>209550</xdr:colOff>
      <xdr:row>56</xdr:row>
      <xdr:rowOff>85725</xdr:rowOff>
    </xdr:to>
    <xdr:cxnSp macro="">
      <xdr:nvCxnSpPr>
        <xdr:cNvPr id="11" name="Straight Arrow Connector 76">
          <a:extLst>
            <a:ext uri="{FF2B5EF4-FFF2-40B4-BE49-F238E27FC236}">
              <a16:creationId xmlns:a16="http://schemas.microsoft.com/office/drawing/2014/main" id="{00000000-0008-0000-0500-00000B000000}"/>
            </a:ext>
          </a:extLst>
        </xdr:cNvPr>
        <xdr:cNvCxnSpPr>
          <a:cxnSpLocks noChangeShapeType="1"/>
        </xdr:cNvCxnSpPr>
      </xdr:nvCxnSpPr>
      <xdr:spPr bwMode="auto">
        <a:xfrm>
          <a:off x="3457575" y="961072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58</xdr:row>
      <xdr:rowOff>85725</xdr:rowOff>
    </xdr:from>
    <xdr:to>
      <xdr:col>12</xdr:col>
      <xdr:colOff>209550</xdr:colOff>
      <xdr:row>58</xdr:row>
      <xdr:rowOff>85725</xdr:rowOff>
    </xdr:to>
    <xdr:cxnSp macro="">
      <xdr:nvCxnSpPr>
        <xdr:cNvPr id="12" name="Straight Arrow Connector 77">
          <a:extLst>
            <a:ext uri="{FF2B5EF4-FFF2-40B4-BE49-F238E27FC236}">
              <a16:creationId xmlns:a16="http://schemas.microsoft.com/office/drawing/2014/main" id="{00000000-0008-0000-0500-00000C000000}"/>
            </a:ext>
          </a:extLst>
        </xdr:cNvPr>
        <xdr:cNvCxnSpPr>
          <a:cxnSpLocks noChangeShapeType="1"/>
        </xdr:cNvCxnSpPr>
      </xdr:nvCxnSpPr>
      <xdr:spPr bwMode="auto">
        <a:xfrm>
          <a:off x="3457575" y="9953625"/>
          <a:ext cx="171450" cy="0"/>
        </a:xfrm>
        <a:prstGeom prst="straightConnector1">
          <a:avLst/>
        </a:prstGeom>
        <a:noFill/>
        <a:ln w="9525" algn="ctr">
          <a:solidFill>
            <a:srgbClr val="000000"/>
          </a:solidFill>
          <a:round/>
          <a:headEnd/>
          <a:tailEnd type="arrow" w="med" len="med"/>
        </a:ln>
      </xdr:spPr>
    </xdr:cxnSp>
    <xdr:clientData/>
  </xdr:twoCellAnchor>
  <xdr:twoCellAnchor>
    <xdr:from>
      <xdr:col>12</xdr:col>
      <xdr:colOff>38100</xdr:colOff>
      <xdr:row>57</xdr:row>
      <xdr:rowOff>85725</xdr:rowOff>
    </xdr:from>
    <xdr:to>
      <xdr:col>12</xdr:col>
      <xdr:colOff>209550</xdr:colOff>
      <xdr:row>57</xdr:row>
      <xdr:rowOff>85725</xdr:rowOff>
    </xdr:to>
    <xdr:cxnSp macro="">
      <xdr:nvCxnSpPr>
        <xdr:cNvPr id="13" name="Straight Arrow Connector 78">
          <a:extLst>
            <a:ext uri="{FF2B5EF4-FFF2-40B4-BE49-F238E27FC236}">
              <a16:creationId xmlns:a16="http://schemas.microsoft.com/office/drawing/2014/main" id="{00000000-0008-0000-0500-00000D000000}"/>
            </a:ext>
          </a:extLst>
        </xdr:cNvPr>
        <xdr:cNvCxnSpPr>
          <a:cxnSpLocks noChangeShapeType="1"/>
        </xdr:cNvCxnSpPr>
      </xdr:nvCxnSpPr>
      <xdr:spPr bwMode="auto">
        <a:xfrm>
          <a:off x="3457575" y="9782175"/>
          <a:ext cx="171450" cy="0"/>
        </a:xfrm>
        <a:prstGeom prst="straightConnector1">
          <a:avLst/>
        </a:prstGeom>
        <a:noFill/>
        <a:ln w="9525" algn="ctr">
          <a:solidFill>
            <a:srgbClr val="000000"/>
          </a:solidFill>
          <a:round/>
          <a:headEnd/>
          <a:tailEnd type="arrow" w="med" len="med"/>
        </a:ln>
      </xdr:spPr>
    </xdr:cxnSp>
    <xdr:clientData/>
  </xdr:twoCellAnchor>
  <xdr:twoCellAnchor>
    <xdr:from>
      <xdr:col>1</xdr:col>
      <xdr:colOff>9524</xdr:colOff>
      <xdr:row>4</xdr:row>
      <xdr:rowOff>0</xdr:rowOff>
    </xdr:from>
    <xdr:to>
      <xdr:col>15</xdr:col>
      <xdr:colOff>0</xdr:colOff>
      <xdr:row>6</xdr:row>
      <xdr:rowOff>0</xdr:rowOff>
    </xdr:to>
    <xdr:sp macro="" textlink="">
      <xdr:nvSpPr>
        <xdr:cNvPr id="14" name="テキスト 55">
          <a:extLst>
            <a:ext uri="{FF2B5EF4-FFF2-40B4-BE49-F238E27FC236}">
              <a16:creationId xmlns:a16="http://schemas.microsoft.com/office/drawing/2014/main" id="{00000000-0008-0000-0500-00000E000000}"/>
            </a:ext>
          </a:extLst>
        </xdr:cNvPr>
        <xdr:cNvSpPr txBox="1">
          <a:spLocks noChangeArrowheads="1"/>
        </xdr:cNvSpPr>
      </xdr:nvSpPr>
      <xdr:spPr bwMode="auto">
        <a:xfrm>
          <a:off x="285749" y="600075"/>
          <a:ext cx="4029076" cy="342900"/>
        </a:xfrm>
        <a:prstGeom prst="rect">
          <a:avLst/>
        </a:prstGeom>
        <a:noFill/>
        <a:ln>
          <a:noFill/>
        </a:ln>
      </xdr:spPr>
      <xdr:txBody>
        <a:bodyPr vertOverflow="clip" vert="horz" wrap="square" lIns="27432" tIns="18288" rIns="27432" bIns="0" anchor="ctr" upright="1"/>
        <a:lstStyle/>
        <a:p>
          <a:pPr algn="l" rtl="0">
            <a:defRPr sz="1000"/>
          </a:pPr>
          <a:r>
            <a:rPr lang="en-US" sz="800" b="0" i="0" strike="noStrike">
              <a:solidFill>
                <a:srgbClr val="000000"/>
              </a:solidFill>
              <a:latin typeface="Arial"/>
              <a:cs typeface="Arial"/>
            </a:rPr>
            <a:t>&lt;Flow&gt; Planning section -&gt;  Approval  -&gt;  Planning section(filing)</a:t>
          </a:r>
        </a:p>
        <a:p>
          <a:pPr algn="l" rtl="0">
            <a:defRPr sz="1000"/>
          </a:pPr>
          <a:r>
            <a:rPr lang="en-US" sz="800" b="0" i="0" strike="noStrike">
              <a:solidFill>
                <a:srgbClr val="000000"/>
              </a:solidFill>
              <a:latin typeface="Arial"/>
              <a:cs typeface="Arial"/>
            </a:rPr>
            <a:t> Approval : INR: </a:t>
          </a:r>
          <a:r>
            <a:rPr lang="en-US" sz="800" b="1" i="0" strike="noStrike">
              <a:solidFill>
                <a:srgbClr val="000000"/>
              </a:solidFill>
              <a:latin typeface="Arial"/>
              <a:cs typeface="Arial"/>
            </a:rPr>
            <a:t>MD</a:t>
          </a:r>
          <a:r>
            <a:rPr lang="en-US" sz="800" b="0" i="0" strike="noStrike">
              <a:solidFill>
                <a:srgbClr val="000000"/>
              </a:solidFill>
              <a:latin typeface="Arial"/>
              <a:cs typeface="Arial"/>
            </a:rPr>
            <a:t> &gt; 1 mil  , </a:t>
          </a:r>
          <a:r>
            <a:rPr lang="en-US" sz="800" b="1" i="0" strike="noStrike">
              <a:solidFill>
                <a:srgbClr val="000000"/>
              </a:solidFill>
              <a:latin typeface="Arial"/>
              <a:cs typeface="Arial"/>
            </a:rPr>
            <a:t>DIR/COB</a:t>
          </a:r>
          <a:r>
            <a:rPr lang="en-US" sz="800" b="0" i="0" strike="noStrike">
              <a:solidFill>
                <a:srgbClr val="000000"/>
              </a:solidFill>
              <a:latin typeface="Arial"/>
              <a:cs typeface="Arial"/>
            </a:rPr>
            <a:t>= 1 mil , </a:t>
          </a:r>
          <a:r>
            <a:rPr lang="en-US" sz="800" b="1" i="0" strike="noStrike">
              <a:solidFill>
                <a:srgbClr val="000000"/>
              </a:solidFill>
              <a:latin typeface="Arial"/>
              <a:cs typeface="Arial"/>
            </a:rPr>
            <a:t>COD</a:t>
          </a:r>
          <a:r>
            <a:rPr lang="en-US" sz="800" b="0" i="0" strike="noStrike">
              <a:solidFill>
                <a:srgbClr val="000000"/>
              </a:solidFill>
              <a:latin typeface="Arial"/>
              <a:cs typeface="Arial"/>
            </a:rPr>
            <a:t> = 0.1 mil </a:t>
          </a:r>
        </a:p>
      </xdr:txBody>
    </xdr:sp>
    <xdr:clientData/>
  </xdr:twoCellAnchor>
  <mc:AlternateContent xmlns:mc="http://schemas.openxmlformats.org/markup-compatibility/2006">
    <mc:Choice xmlns:a14="http://schemas.microsoft.com/office/drawing/2010/main" Requires="a14">
      <xdr:twoCellAnchor editAs="oneCell">
        <xdr:from>
          <xdr:col>18</xdr:col>
          <xdr:colOff>28575</xdr:colOff>
          <xdr:row>38</xdr:row>
          <xdr:rowOff>152400</xdr:rowOff>
        </xdr:from>
        <xdr:to>
          <xdr:col>19</xdr:col>
          <xdr:colOff>57150</xdr:colOff>
          <xdr:row>40</xdr:row>
          <xdr:rowOff>19050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500-000001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38</xdr:row>
          <xdr:rowOff>152400</xdr:rowOff>
        </xdr:from>
        <xdr:to>
          <xdr:col>22</xdr:col>
          <xdr:colOff>9525</xdr:colOff>
          <xdr:row>40</xdr:row>
          <xdr:rowOff>19050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500-000002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53</xdr:row>
          <xdr:rowOff>133350</xdr:rowOff>
        </xdr:from>
        <xdr:to>
          <xdr:col>3</xdr:col>
          <xdr:colOff>57150</xdr:colOff>
          <xdr:row>55</xdr:row>
          <xdr:rowOff>19050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500-000003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54</xdr:row>
          <xdr:rowOff>152400</xdr:rowOff>
        </xdr:from>
        <xdr:to>
          <xdr:col>3</xdr:col>
          <xdr:colOff>57150</xdr:colOff>
          <xdr:row>56</xdr:row>
          <xdr:rowOff>19050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500-000004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55</xdr:row>
          <xdr:rowOff>152400</xdr:rowOff>
        </xdr:from>
        <xdr:to>
          <xdr:col>3</xdr:col>
          <xdr:colOff>57150</xdr:colOff>
          <xdr:row>57</xdr:row>
          <xdr:rowOff>19050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500-000005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16</xdr:row>
          <xdr:rowOff>238125</xdr:rowOff>
        </xdr:from>
        <xdr:to>
          <xdr:col>18</xdr:col>
          <xdr:colOff>66675</xdr:colOff>
          <xdr:row>18</xdr:row>
          <xdr:rowOff>28575</xdr:rowOff>
        </xdr:to>
        <xdr:sp macro="" textlink="">
          <xdr:nvSpPr>
            <xdr:cNvPr id="14342" name="チェック8" hidden="1">
              <a:extLst>
                <a:ext uri="{63B3BB69-23CF-44E3-9099-C40C66FF867C}">
                  <a14:compatExt spid="_x0000_s14342"/>
                </a:ext>
                <a:ext uri="{FF2B5EF4-FFF2-40B4-BE49-F238E27FC236}">
                  <a16:creationId xmlns:a16="http://schemas.microsoft.com/office/drawing/2014/main" id="{00000000-0008-0000-0500-000006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17</xdr:row>
          <xdr:rowOff>161925</xdr:rowOff>
        </xdr:from>
        <xdr:to>
          <xdr:col>18</xdr:col>
          <xdr:colOff>66675</xdr:colOff>
          <xdr:row>19</xdr:row>
          <xdr:rowOff>9525</xdr:rowOff>
        </xdr:to>
        <xdr:sp macro="" textlink="">
          <xdr:nvSpPr>
            <xdr:cNvPr id="14343" name="チェック9" hidden="1">
              <a:extLst>
                <a:ext uri="{63B3BB69-23CF-44E3-9099-C40C66FF867C}">
                  <a14:compatExt spid="_x0000_s14343"/>
                </a:ext>
                <a:ext uri="{FF2B5EF4-FFF2-40B4-BE49-F238E27FC236}">
                  <a16:creationId xmlns:a16="http://schemas.microsoft.com/office/drawing/2014/main" id="{00000000-0008-0000-0500-000007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xdr:colOff>
          <xdr:row>43</xdr:row>
          <xdr:rowOff>0</xdr:rowOff>
        </xdr:from>
        <xdr:to>
          <xdr:col>19</xdr:col>
          <xdr:colOff>47625</xdr:colOff>
          <xdr:row>44</xdr:row>
          <xdr:rowOff>38100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500-000008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19050</xdr:colOff>
          <xdr:row>43</xdr:row>
          <xdr:rowOff>152400</xdr:rowOff>
        </xdr:from>
        <xdr:to>
          <xdr:col>19</xdr:col>
          <xdr:colOff>47625</xdr:colOff>
          <xdr:row>45</xdr:row>
          <xdr:rowOff>19050</xdr:rowOff>
        </xdr:to>
        <xdr:sp macro="" textlink="">
          <xdr:nvSpPr>
            <xdr:cNvPr id="14345" name="Check Box 9" hidden="1">
              <a:extLst>
                <a:ext uri="{63B3BB69-23CF-44E3-9099-C40C66FF867C}">
                  <a14:compatExt spid="_x0000_s14345"/>
                </a:ext>
                <a:ext uri="{FF2B5EF4-FFF2-40B4-BE49-F238E27FC236}">
                  <a16:creationId xmlns:a16="http://schemas.microsoft.com/office/drawing/2014/main" id="{00000000-0008-0000-0500-000009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28575</xdr:colOff>
          <xdr:row>43</xdr:row>
          <xdr:rowOff>152400</xdr:rowOff>
        </xdr:from>
        <xdr:to>
          <xdr:col>25</xdr:col>
          <xdr:colOff>57150</xdr:colOff>
          <xdr:row>45</xdr:row>
          <xdr:rowOff>19050</xdr:rowOff>
        </xdr:to>
        <xdr:sp macro="" textlink="">
          <xdr:nvSpPr>
            <xdr:cNvPr id="14346" name="Check Box 10" hidden="1">
              <a:extLst>
                <a:ext uri="{63B3BB69-23CF-44E3-9099-C40C66FF867C}">
                  <a14:compatExt spid="_x0000_s14346"/>
                </a:ext>
                <a:ext uri="{FF2B5EF4-FFF2-40B4-BE49-F238E27FC236}">
                  <a16:creationId xmlns:a16="http://schemas.microsoft.com/office/drawing/2014/main" id="{00000000-0008-0000-0500-00000A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54</xdr:row>
          <xdr:rowOff>152400</xdr:rowOff>
        </xdr:from>
        <xdr:to>
          <xdr:col>11</xdr:col>
          <xdr:colOff>47625</xdr:colOff>
          <xdr:row>56</xdr:row>
          <xdr:rowOff>19050</xdr:rowOff>
        </xdr:to>
        <xdr:sp macro="" textlink="">
          <xdr:nvSpPr>
            <xdr:cNvPr id="14347" name="Check Box 11" hidden="1">
              <a:extLst>
                <a:ext uri="{63B3BB69-23CF-44E3-9099-C40C66FF867C}">
                  <a14:compatExt spid="_x0000_s14347"/>
                </a:ext>
                <a:ext uri="{FF2B5EF4-FFF2-40B4-BE49-F238E27FC236}">
                  <a16:creationId xmlns:a16="http://schemas.microsoft.com/office/drawing/2014/main" id="{00000000-0008-0000-0500-00000B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55</xdr:row>
          <xdr:rowOff>142875</xdr:rowOff>
        </xdr:from>
        <xdr:to>
          <xdr:col>11</xdr:col>
          <xdr:colOff>85725</xdr:colOff>
          <xdr:row>57</xdr:row>
          <xdr:rowOff>28575</xdr:rowOff>
        </xdr:to>
        <xdr:sp macro="" textlink="">
          <xdr:nvSpPr>
            <xdr:cNvPr id="14348" name="Check Box 12" hidden="1">
              <a:extLst>
                <a:ext uri="{63B3BB69-23CF-44E3-9099-C40C66FF867C}">
                  <a14:compatExt spid="_x0000_s14348"/>
                </a:ext>
                <a:ext uri="{FF2B5EF4-FFF2-40B4-BE49-F238E27FC236}">
                  <a16:creationId xmlns:a16="http://schemas.microsoft.com/office/drawing/2014/main" id="{00000000-0008-0000-0500-00000C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56</xdr:row>
          <xdr:rowOff>152400</xdr:rowOff>
        </xdr:from>
        <xdr:to>
          <xdr:col>11</xdr:col>
          <xdr:colOff>38100</xdr:colOff>
          <xdr:row>58</xdr:row>
          <xdr:rowOff>19050</xdr:rowOff>
        </xdr:to>
        <xdr:sp macro="" textlink="">
          <xdr:nvSpPr>
            <xdr:cNvPr id="14349" name="Check Box 13" hidden="1">
              <a:extLst>
                <a:ext uri="{63B3BB69-23CF-44E3-9099-C40C66FF867C}">
                  <a14:compatExt spid="_x0000_s14349"/>
                </a:ext>
                <a:ext uri="{FF2B5EF4-FFF2-40B4-BE49-F238E27FC236}">
                  <a16:creationId xmlns:a16="http://schemas.microsoft.com/office/drawing/2014/main" id="{00000000-0008-0000-0500-00000D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28575</xdr:colOff>
          <xdr:row>57</xdr:row>
          <xdr:rowOff>152400</xdr:rowOff>
        </xdr:from>
        <xdr:to>
          <xdr:col>11</xdr:col>
          <xdr:colOff>85725</xdr:colOff>
          <xdr:row>59</xdr:row>
          <xdr:rowOff>19050</xdr:rowOff>
        </xdr:to>
        <xdr:sp macro="" textlink="">
          <xdr:nvSpPr>
            <xdr:cNvPr id="14350" name="Check Box 14" hidden="1">
              <a:extLst>
                <a:ext uri="{63B3BB69-23CF-44E3-9099-C40C66FF867C}">
                  <a14:compatExt spid="_x0000_s14350"/>
                </a:ext>
                <a:ext uri="{FF2B5EF4-FFF2-40B4-BE49-F238E27FC236}">
                  <a16:creationId xmlns:a16="http://schemas.microsoft.com/office/drawing/2014/main" id="{00000000-0008-0000-0500-00000E3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42863</xdr:colOff>
      <xdr:row>21</xdr:row>
      <xdr:rowOff>114303</xdr:rowOff>
    </xdr:from>
    <xdr:to>
      <xdr:col>9</xdr:col>
      <xdr:colOff>223838</xdr:colOff>
      <xdr:row>24</xdr:row>
      <xdr:rowOff>57153</xdr:rowOff>
    </xdr:to>
    <xdr:sp macro="" textlink="">
      <xdr:nvSpPr>
        <xdr:cNvPr id="29" name="Rectangle 28">
          <a:extLst>
            <a:ext uri="{FF2B5EF4-FFF2-40B4-BE49-F238E27FC236}">
              <a16:creationId xmlns:a16="http://schemas.microsoft.com/office/drawing/2014/main" id="{00000000-0008-0000-0500-00001D000000}"/>
            </a:ext>
          </a:extLst>
        </xdr:cNvPr>
        <xdr:cNvSpPr/>
      </xdr:nvSpPr>
      <xdr:spPr bwMode="auto">
        <a:xfrm rot="16200000">
          <a:off x="2305051" y="3643315"/>
          <a:ext cx="457200" cy="561975"/>
        </a:xfrm>
        <a:prstGeom prst="rect">
          <a:avLst/>
        </a:prstGeom>
        <a:no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ctr" upright="1"/>
        <a:lstStyle/>
        <a:p>
          <a:pPr marL="0" indent="0" algn="ctr"/>
          <a:r>
            <a:rPr lang="en-US" sz="1100">
              <a:latin typeface="+mn-lt"/>
              <a:ea typeface="+mn-ea"/>
              <a:cs typeface="+mn-cs"/>
            </a:rPr>
            <a:t>CNC-1</a:t>
          </a:r>
        </a:p>
        <a:p>
          <a:pPr marL="0" indent="0" algn="ctr"/>
          <a:r>
            <a:rPr lang="en-US" sz="1100">
              <a:latin typeface="+mn-lt"/>
              <a:ea typeface="+mn-ea"/>
              <a:cs typeface="+mn-cs"/>
            </a:rPr>
            <a:t>DMG</a:t>
          </a:r>
        </a:p>
      </xdr:txBody>
    </xdr:sp>
    <xdr:clientData/>
  </xdr:twoCellAnchor>
  <xdr:twoCellAnchor>
    <xdr:from>
      <xdr:col>9</xdr:col>
      <xdr:colOff>128589</xdr:colOff>
      <xdr:row>24</xdr:row>
      <xdr:rowOff>133354</xdr:rowOff>
    </xdr:from>
    <xdr:to>
      <xdr:col>11</xdr:col>
      <xdr:colOff>33339</xdr:colOff>
      <xdr:row>27</xdr:row>
      <xdr:rowOff>76204</xdr:rowOff>
    </xdr:to>
    <xdr:sp macro="" textlink="">
      <xdr:nvSpPr>
        <xdr:cNvPr id="30" name="Rectangle 29">
          <a:extLst>
            <a:ext uri="{FF2B5EF4-FFF2-40B4-BE49-F238E27FC236}">
              <a16:creationId xmlns:a16="http://schemas.microsoft.com/office/drawing/2014/main" id="{00000000-0008-0000-0500-00001E000000}"/>
            </a:ext>
          </a:extLst>
        </xdr:cNvPr>
        <xdr:cNvSpPr/>
      </xdr:nvSpPr>
      <xdr:spPr bwMode="auto">
        <a:xfrm rot="16200000">
          <a:off x="2719389" y="4229104"/>
          <a:ext cx="457200" cy="457200"/>
        </a:xfrm>
        <a:prstGeom prst="rect">
          <a:avLst/>
        </a:prstGeom>
        <a:no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t>CNC-2</a:t>
          </a:r>
        </a:p>
        <a:p>
          <a:pPr algn="ctr"/>
          <a:r>
            <a:rPr lang="en-US" sz="1100"/>
            <a:t>ACE</a:t>
          </a:r>
        </a:p>
      </xdr:txBody>
    </xdr:sp>
    <xdr:clientData/>
  </xdr:twoCellAnchor>
  <xdr:twoCellAnchor>
    <xdr:from>
      <xdr:col>6</xdr:col>
      <xdr:colOff>242890</xdr:colOff>
      <xdr:row>24</xdr:row>
      <xdr:rowOff>133355</xdr:rowOff>
    </xdr:from>
    <xdr:to>
      <xdr:col>8</xdr:col>
      <xdr:colOff>147640</xdr:colOff>
      <xdr:row>27</xdr:row>
      <xdr:rowOff>76205</xdr:rowOff>
    </xdr:to>
    <xdr:sp macro="" textlink="">
      <xdr:nvSpPr>
        <xdr:cNvPr id="31" name="Rectangle 30">
          <a:extLst>
            <a:ext uri="{FF2B5EF4-FFF2-40B4-BE49-F238E27FC236}">
              <a16:creationId xmlns:a16="http://schemas.microsoft.com/office/drawing/2014/main" id="{00000000-0008-0000-0500-00001F000000}"/>
            </a:ext>
          </a:extLst>
        </xdr:cNvPr>
        <xdr:cNvSpPr/>
      </xdr:nvSpPr>
      <xdr:spPr bwMode="auto">
        <a:xfrm rot="16200000">
          <a:off x="1900240" y="4229105"/>
          <a:ext cx="457200" cy="457200"/>
        </a:xfrm>
        <a:prstGeom prst="rect">
          <a:avLst/>
        </a:prstGeom>
        <a:no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t>CNC-3</a:t>
          </a:r>
          <a:r>
            <a:rPr lang="en-US" sz="1100" baseline="0"/>
            <a:t> ACE</a:t>
          </a:r>
          <a:endParaRPr lang="en-US" sz="1100"/>
        </a:p>
      </xdr:txBody>
    </xdr:sp>
    <xdr:clientData/>
  </xdr:twoCellAnchor>
  <xdr:twoCellAnchor>
    <xdr:from>
      <xdr:col>8</xdr:col>
      <xdr:colOff>28575</xdr:colOff>
      <xdr:row>21</xdr:row>
      <xdr:rowOff>104775</xdr:rowOff>
    </xdr:from>
    <xdr:to>
      <xdr:col>9</xdr:col>
      <xdr:colOff>219075</xdr:colOff>
      <xdr:row>24</xdr:row>
      <xdr:rowOff>57150</xdr:rowOff>
    </xdr:to>
    <xdr:cxnSp macro="">
      <xdr:nvCxnSpPr>
        <xdr:cNvPr id="32" name="Straight Connector 31">
          <a:extLst>
            <a:ext uri="{FF2B5EF4-FFF2-40B4-BE49-F238E27FC236}">
              <a16:creationId xmlns:a16="http://schemas.microsoft.com/office/drawing/2014/main" id="{00000000-0008-0000-0500-000020000000}"/>
            </a:ext>
          </a:extLst>
        </xdr:cNvPr>
        <xdr:cNvCxnSpPr/>
      </xdr:nvCxnSpPr>
      <xdr:spPr bwMode="auto">
        <a:xfrm>
          <a:off x="2238375" y="3686175"/>
          <a:ext cx="571500" cy="466725"/>
        </a:xfrm>
        <a:prstGeom prst="line">
          <a:avLst/>
        </a:pr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66675</xdr:colOff>
      <xdr:row>21</xdr:row>
      <xdr:rowOff>114300</xdr:rowOff>
    </xdr:from>
    <xdr:to>
      <xdr:col>9</xdr:col>
      <xdr:colOff>238125</xdr:colOff>
      <xdr:row>24</xdr:row>
      <xdr:rowOff>57150</xdr:rowOff>
    </xdr:to>
    <xdr:cxnSp macro="">
      <xdr:nvCxnSpPr>
        <xdr:cNvPr id="33" name="Straight Connector 32">
          <a:extLst>
            <a:ext uri="{FF2B5EF4-FFF2-40B4-BE49-F238E27FC236}">
              <a16:creationId xmlns:a16="http://schemas.microsoft.com/office/drawing/2014/main" id="{00000000-0008-0000-0500-000021000000}"/>
            </a:ext>
          </a:extLst>
        </xdr:cNvPr>
        <xdr:cNvCxnSpPr/>
      </xdr:nvCxnSpPr>
      <xdr:spPr bwMode="auto">
        <a:xfrm flipH="1">
          <a:off x="2276475" y="3695700"/>
          <a:ext cx="552450" cy="457200"/>
        </a:xfrm>
        <a:prstGeom prst="line">
          <a:avLst/>
        </a:pr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147639</xdr:colOff>
      <xdr:row>21</xdr:row>
      <xdr:rowOff>114304</xdr:rowOff>
    </xdr:from>
    <xdr:to>
      <xdr:col>14</xdr:col>
      <xdr:colOff>52389</xdr:colOff>
      <xdr:row>24</xdr:row>
      <xdr:rowOff>57154</xdr:rowOff>
    </xdr:to>
    <xdr:sp macro="" textlink="">
      <xdr:nvSpPr>
        <xdr:cNvPr id="34" name="Rectangle 33">
          <a:extLst>
            <a:ext uri="{FF2B5EF4-FFF2-40B4-BE49-F238E27FC236}">
              <a16:creationId xmlns:a16="http://schemas.microsoft.com/office/drawing/2014/main" id="{00000000-0008-0000-0500-000022000000}"/>
            </a:ext>
          </a:extLst>
        </xdr:cNvPr>
        <xdr:cNvSpPr/>
      </xdr:nvSpPr>
      <xdr:spPr bwMode="auto">
        <a:xfrm rot="16200000">
          <a:off x="3567114" y="3695704"/>
          <a:ext cx="457200" cy="457200"/>
        </a:xfrm>
        <a:prstGeom prst="rect">
          <a:avLst/>
        </a:prstGeom>
        <a:no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t>New</a:t>
          </a:r>
        </a:p>
        <a:p>
          <a:pPr algn="ctr"/>
          <a:r>
            <a:rPr lang="en-US" sz="1100"/>
            <a:t>ACE</a:t>
          </a:r>
        </a:p>
      </xdr:txBody>
    </xdr:sp>
    <xdr:clientData/>
  </xdr:twoCellAnchor>
  <xdr:twoCellAnchor>
    <xdr:from>
      <xdr:col>9</xdr:col>
      <xdr:colOff>257175</xdr:colOff>
      <xdr:row>22</xdr:row>
      <xdr:rowOff>104776</xdr:rowOff>
    </xdr:from>
    <xdr:to>
      <xdr:col>12</xdr:col>
      <xdr:colOff>152400</xdr:colOff>
      <xdr:row>23</xdr:row>
      <xdr:rowOff>114300</xdr:rowOff>
    </xdr:to>
    <xdr:sp macro="" textlink="">
      <xdr:nvSpPr>
        <xdr:cNvPr id="35" name="Left Arrow 34">
          <a:extLst>
            <a:ext uri="{FF2B5EF4-FFF2-40B4-BE49-F238E27FC236}">
              <a16:creationId xmlns:a16="http://schemas.microsoft.com/office/drawing/2014/main" id="{00000000-0008-0000-0500-000023000000}"/>
            </a:ext>
          </a:extLst>
        </xdr:cNvPr>
        <xdr:cNvSpPr/>
      </xdr:nvSpPr>
      <xdr:spPr bwMode="auto">
        <a:xfrm>
          <a:off x="2847975" y="3857626"/>
          <a:ext cx="723900" cy="180974"/>
        </a:xfrm>
        <a:prstGeom prst="leftArrow">
          <a:avLst/>
        </a:pr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US" sz="1100"/>
        </a:p>
      </xdr:txBody>
    </xdr:sp>
    <xdr:clientData/>
  </xdr:twoCellAnchor>
  <xdr:twoCellAnchor>
    <xdr:from>
      <xdr:col>6</xdr:col>
      <xdr:colOff>28575</xdr:colOff>
      <xdr:row>21</xdr:row>
      <xdr:rowOff>66676</xdr:rowOff>
    </xdr:from>
    <xdr:to>
      <xdr:col>12</xdr:col>
      <xdr:colOff>9525</xdr:colOff>
      <xdr:row>27</xdr:row>
      <xdr:rowOff>161926</xdr:rowOff>
    </xdr:to>
    <xdr:sp macro="" textlink="">
      <xdr:nvSpPr>
        <xdr:cNvPr id="36" name="Rectangle 35">
          <a:extLst>
            <a:ext uri="{FF2B5EF4-FFF2-40B4-BE49-F238E27FC236}">
              <a16:creationId xmlns:a16="http://schemas.microsoft.com/office/drawing/2014/main" id="{00000000-0008-0000-0500-000024000000}"/>
            </a:ext>
          </a:extLst>
        </xdr:cNvPr>
        <xdr:cNvSpPr/>
      </xdr:nvSpPr>
      <xdr:spPr bwMode="auto">
        <a:xfrm>
          <a:off x="1685925" y="3648076"/>
          <a:ext cx="1743075" cy="1123950"/>
        </a:xfrm>
        <a:prstGeom prst="rect">
          <a:avLst/>
        </a:prstGeom>
        <a:noFill/>
        <a:ln w="9525" cap="flat" cmpd="sng" algn="ctr">
          <a:solidFill>
            <a:srgbClr val="4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editAs="oneCell">
    <xdr:from>
      <xdr:col>17</xdr:col>
      <xdr:colOff>47626</xdr:colOff>
      <xdr:row>20</xdr:row>
      <xdr:rowOff>38101</xdr:rowOff>
    </xdr:from>
    <xdr:to>
      <xdr:col>26</xdr:col>
      <xdr:colOff>150159</xdr:colOff>
      <xdr:row>32</xdr:row>
      <xdr:rowOff>131053</xdr:rowOff>
    </xdr:to>
    <xdr:pic>
      <xdr:nvPicPr>
        <xdr:cNvPr id="37" name="Picture 36">
          <a:extLst>
            <a:ext uri="{FF2B5EF4-FFF2-40B4-BE49-F238E27FC236}">
              <a16:creationId xmlns:a16="http://schemas.microsoft.com/office/drawing/2014/main" id="{00000000-0008-0000-0500-000025000000}"/>
            </a:ext>
          </a:extLst>
        </xdr:cNvPr>
        <xdr:cNvPicPr>
          <a:picLocks noChangeAspect="1"/>
        </xdr:cNvPicPr>
      </xdr:nvPicPr>
      <xdr:blipFill rotWithShape="1">
        <a:blip xmlns:r="http://schemas.openxmlformats.org/officeDocument/2006/relationships" r:embed="rId2"/>
        <a:srcRect l="22572" t="23670" r="19851" b="18879"/>
        <a:stretch/>
      </xdr:blipFill>
      <xdr:spPr>
        <a:xfrm>
          <a:off x="4914901" y="3448051"/>
          <a:ext cx="2721908" cy="21503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11</xdr:col>
      <xdr:colOff>38100</xdr:colOff>
      <xdr:row>17</xdr:row>
      <xdr:rowOff>123825</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3140\AppData\Local\Temp\notesD06208\Actual%20filled%20example%20Equipment%20Investmen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lobaldenso.sharepoint.com/DOCUME~1/005323/LOCALS~1/Temp/notesFFF692/Revised%20IAF.8.8.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1 COVER SHEET"/>
      <sheetName val="Pg2 data"/>
      <sheetName val="Ref. infrm"/>
      <sheetName val="Pg1 Fill example"/>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80807-IAF"/>
    </sheetNames>
    <sheetDataSet>
      <sheetData sheetId="0">
        <row r="103">
          <cell r="I103" t="str">
            <v>Transferor BU</v>
          </cell>
          <cell r="J103" t="str">
            <v>Budget Code</v>
          </cell>
          <cell r="K103" t="str">
            <v>Amount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1.xml"/><Relationship Id="rId13" Type="http://schemas.openxmlformats.org/officeDocument/2006/relationships/ctrlProp" Target="../ctrlProps/ctrlProp26.xml"/><Relationship Id="rId3" Type="http://schemas.openxmlformats.org/officeDocument/2006/relationships/vmlDrawing" Target="../drawings/vmlDrawing3.vml"/><Relationship Id="rId7" Type="http://schemas.openxmlformats.org/officeDocument/2006/relationships/ctrlProp" Target="../ctrlProps/ctrlProp20.xml"/><Relationship Id="rId12" Type="http://schemas.openxmlformats.org/officeDocument/2006/relationships/ctrlProp" Target="../ctrlProps/ctrlProp25.xml"/><Relationship Id="rId17" Type="http://schemas.openxmlformats.org/officeDocument/2006/relationships/ctrlProp" Target="../ctrlProps/ctrlProp30.xml"/><Relationship Id="rId2" Type="http://schemas.openxmlformats.org/officeDocument/2006/relationships/drawing" Target="../drawings/drawing5.xml"/><Relationship Id="rId16" Type="http://schemas.openxmlformats.org/officeDocument/2006/relationships/ctrlProp" Target="../ctrlProps/ctrlProp29.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11" Type="http://schemas.openxmlformats.org/officeDocument/2006/relationships/ctrlProp" Target="../ctrlProps/ctrlProp24.xml"/><Relationship Id="rId5" Type="http://schemas.openxmlformats.org/officeDocument/2006/relationships/ctrlProp" Target="../ctrlProps/ctrlProp18.xml"/><Relationship Id="rId15" Type="http://schemas.openxmlformats.org/officeDocument/2006/relationships/ctrlProp" Target="../ctrlProps/ctrlProp28.xml"/><Relationship Id="rId10" Type="http://schemas.openxmlformats.org/officeDocument/2006/relationships/ctrlProp" Target="../ctrlProps/ctrlProp23.xml"/><Relationship Id="rId4" Type="http://schemas.openxmlformats.org/officeDocument/2006/relationships/ctrlProp" Target="../ctrlProps/ctrlProp17.xml"/><Relationship Id="rId9" Type="http://schemas.openxmlformats.org/officeDocument/2006/relationships/ctrlProp" Target="../ctrlProps/ctrlProp22.xml"/><Relationship Id="rId14" Type="http://schemas.openxmlformats.org/officeDocument/2006/relationships/ctrlProp" Target="../ctrlProps/ctrlProp2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2"/>
  <sheetViews>
    <sheetView tabSelected="1" zoomScaleNormal="100" workbookViewId="0">
      <selection activeCell="B22" sqref="B22"/>
    </sheetView>
  </sheetViews>
  <sheetFormatPr defaultRowHeight="15"/>
  <cols>
    <col min="1" max="1" width="9" style="169"/>
    <col min="2" max="2" width="49.125" style="161" bestFit="1" customWidth="1"/>
    <col min="3" max="3" width="33.125" style="169" customWidth="1"/>
    <col min="4" max="16384" width="9" style="161"/>
  </cols>
  <sheetData>
    <row r="1" spans="1:3" ht="29.25" customHeight="1">
      <c r="A1" s="316" t="s">
        <v>237</v>
      </c>
      <c r="B1" s="317"/>
      <c r="C1" s="318"/>
    </row>
    <row r="2" spans="1:3" ht="29.25" customHeight="1">
      <c r="A2" s="162" t="s">
        <v>238</v>
      </c>
      <c r="B2" s="163" t="s">
        <v>239</v>
      </c>
      <c r="C2" s="163" t="s">
        <v>240</v>
      </c>
    </row>
    <row r="3" spans="1:3" ht="29.25" customHeight="1">
      <c r="A3" s="164">
        <v>1</v>
      </c>
      <c r="B3" s="165" t="s">
        <v>241</v>
      </c>
      <c r="C3" s="312" t="s">
        <v>382</v>
      </c>
    </row>
    <row r="4" spans="1:3" ht="30" customHeight="1">
      <c r="A4" s="164">
        <f t="shared" ref="A4:A12" si="0">A3+1</f>
        <v>2</v>
      </c>
      <c r="B4" s="166" t="s">
        <v>242</v>
      </c>
      <c r="C4" s="164" t="s">
        <v>243</v>
      </c>
    </row>
    <row r="5" spans="1:3" ht="30" customHeight="1">
      <c r="A5" s="164">
        <f t="shared" si="0"/>
        <v>3</v>
      </c>
      <c r="B5" s="166" t="s">
        <v>244</v>
      </c>
      <c r="C5" s="311" t="s">
        <v>84</v>
      </c>
    </row>
    <row r="6" spans="1:3" ht="29.25" customHeight="1">
      <c r="A6" s="164">
        <f t="shared" si="0"/>
        <v>4</v>
      </c>
      <c r="B6" s="165" t="s">
        <v>245</v>
      </c>
      <c r="C6" s="313" t="s">
        <v>398</v>
      </c>
    </row>
    <row r="7" spans="1:3" ht="30" customHeight="1">
      <c r="A7" s="164">
        <f t="shared" si="0"/>
        <v>5</v>
      </c>
      <c r="B7" s="167" t="s">
        <v>246</v>
      </c>
      <c r="C7" s="315" t="s">
        <v>397</v>
      </c>
    </row>
    <row r="8" spans="1:3" ht="30" customHeight="1">
      <c r="A8" s="164">
        <f t="shared" si="0"/>
        <v>6</v>
      </c>
      <c r="B8" s="166" t="s">
        <v>248</v>
      </c>
      <c r="C8" s="164" t="s">
        <v>249</v>
      </c>
    </row>
    <row r="9" spans="1:3" ht="30" customHeight="1">
      <c r="A9" s="164">
        <f t="shared" si="0"/>
        <v>7</v>
      </c>
      <c r="B9" s="167" t="s">
        <v>250</v>
      </c>
      <c r="C9" s="168" t="s">
        <v>396</v>
      </c>
    </row>
    <row r="10" spans="1:3" ht="30" customHeight="1">
      <c r="A10" s="164">
        <f t="shared" si="0"/>
        <v>8</v>
      </c>
      <c r="B10" s="167" t="s">
        <v>251</v>
      </c>
      <c r="C10" s="164" t="s">
        <v>247</v>
      </c>
    </row>
    <row r="11" spans="1:3" ht="30" customHeight="1">
      <c r="A11" s="164">
        <f t="shared" si="0"/>
        <v>9</v>
      </c>
      <c r="B11" s="167" t="s">
        <v>252</v>
      </c>
      <c r="C11" s="164" t="s">
        <v>247</v>
      </c>
    </row>
    <row r="12" spans="1:3" ht="30" customHeight="1">
      <c r="A12" s="164">
        <f t="shared" si="0"/>
        <v>10</v>
      </c>
      <c r="B12" s="167" t="s">
        <v>253</v>
      </c>
      <c r="C12" s="164" t="s">
        <v>247</v>
      </c>
    </row>
  </sheetData>
  <mergeCells count="1">
    <mergeCell ref="A1:C1"/>
  </mergeCells>
  <pageMargins left="0.70866141732283472" right="0.70866141732283472" top="0.74803149606299213" bottom="0.74803149606299213" header="0.31496062992125984" footer="0.31496062992125984"/>
  <pageSetup paperSize="9" scale="97"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64"/>
  <sheetViews>
    <sheetView showGridLines="0" topLeftCell="A25" zoomScale="145" zoomScaleNormal="145" workbookViewId="0">
      <selection activeCell="B20" sqref="B20:B32"/>
    </sheetView>
  </sheetViews>
  <sheetFormatPr defaultRowHeight="13.5" customHeight="1"/>
  <cols>
    <col min="1" max="1" width="4.5" style="2" customWidth="1"/>
    <col min="2" max="3" width="3.625" style="2" customWidth="1"/>
    <col min="4" max="4" width="4.25" style="2" customWidth="1"/>
    <col min="5" max="13" width="3.625" style="2" customWidth="1"/>
    <col min="14" max="14" width="3.125" style="2" customWidth="1"/>
    <col min="15" max="17" width="3.625" style="2" customWidth="1"/>
    <col min="18" max="18" width="4.375" style="2" customWidth="1"/>
    <col min="19" max="21" width="3.625" style="2" customWidth="1"/>
    <col min="22" max="22" width="4" style="2" customWidth="1"/>
    <col min="23" max="26" width="3.625" style="2" customWidth="1"/>
    <col min="27" max="27" width="4.5" style="2" customWidth="1"/>
    <col min="28" max="28" width="3.625" style="2" customWidth="1"/>
    <col min="29" max="29" width="2.375" style="2" customWidth="1"/>
    <col min="30" max="16384" width="9" style="2"/>
  </cols>
  <sheetData>
    <row r="1" spans="1:35" ht="9.75" customHeight="1">
      <c r="F1" s="356" t="s">
        <v>69</v>
      </c>
      <c r="G1" s="356"/>
      <c r="H1" s="356"/>
      <c r="I1" s="356"/>
      <c r="J1" s="356"/>
      <c r="K1" s="356"/>
      <c r="L1" s="356"/>
      <c r="M1" s="356"/>
      <c r="N1" s="356"/>
      <c r="O1" s="356"/>
      <c r="P1" s="356"/>
      <c r="Q1" s="356"/>
      <c r="R1" s="356"/>
      <c r="S1" s="356"/>
      <c r="Y1" s="3"/>
      <c r="AA1" s="74" t="s">
        <v>97</v>
      </c>
    </row>
    <row r="2" spans="1:35" ht="6.95" customHeight="1">
      <c r="F2" s="356"/>
      <c r="G2" s="356"/>
      <c r="H2" s="356"/>
      <c r="I2" s="356"/>
      <c r="J2" s="356"/>
      <c r="K2" s="356"/>
      <c r="L2" s="356"/>
      <c r="M2" s="356"/>
      <c r="N2" s="356"/>
      <c r="O2" s="356"/>
      <c r="P2" s="356"/>
      <c r="Q2" s="356"/>
      <c r="R2" s="356"/>
      <c r="S2" s="356"/>
    </row>
    <row r="3" spans="1:35" ht="6" customHeight="1">
      <c r="F3" s="356"/>
      <c r="G3" s="356"/>
      <c r="H3" s="356"/>
      <c r="I3" s="356"/>
      <c r="J3" s="356"/>
      <c r="K3" s="356"/>
      <c r="L3" s="356"/>
      <c r="M3" s="356"/>
      <c r="N3" s="356"/>
      <c r="O3" s="356"/>
      <c r="P3" s="356"/>
      <c r="Q3" s="356"/>
      <c r="R3" s="356"/>
      <c r="S3" s="356"/>
    </row>
    <row r="4" spans="1:35" ht="6" customHeight="1">
      <c r="F4" s="63"/>
      <c r="G4" s="63"/>
      <c r="H4" s="63"/>
      <c r="I4" s="63"/>
      <c r="J4" s="63"/>
      <c r="K4" s="63"/>
      <c r="L4" s="63"/>
      <c r="M4" s="63"/>
      <c r="N4" s="63"/>
      <c r="O4" s="63"/>
      <c r="P4" s="63"/>
      <c r="Q4" s="63"/>
      <c r="R4" s="63"/>
      <c r="S4" s="63"/>
    </row>
    <row r="5" spans="1:35" ht="18.75" customHeight="1">
      <c r="F5" s="63"/>
      <c r="G5" s="63"/>
      <c r="H5" s="63"/>
      <c r="I5" s="63"/>
      <c r="J5" s="63"/>
      <c r="K5" s="63"/>
      <c r="L5" s="63"/>
      <c r="M5" s="63"/>
      <c r="N5" s="63"/>
      <c r="O5" s="63"/>
      <c r="P5" s="63"/>
      <c r="Q5" s="63"/>
      <c r="R5" s="63"/>
      <c r="S5" s="63"/>
      <c r="W5" s="4" t="s">
        <v>104</v>
      </c>
      <c r="X5" s="342">
        <v>45271</v>
      </c>
      <c r="Y5" s="342"/>
      <c r="Z5" s="342"/>
      <c r="AA5" s="342"/>
    </row>
    <row r="6" spans="1:35" ht="18" customHeight="1">
      <c r="B6" s="404" t="s">
        <v>23</v>
      </c>
      <c r="C6" s="405"/>
      <c r="D6" s="405"/>
      <c r="E6" s="406"/>
      <c r="F6" s="379" t="s">
        <v>229</v>
      </c>
      <c r="G6" s="380"/>
      <c r="H6" s="380"/>
      <c r="I6" s="381"/>
      <c r="J6" s="403" t="s">
        <v>213</v>
      </c>
      <c r="K6" s="403"/>
      <c r="L6" s="403"/>
      <c r="N6" s="16"/>
      <c r="O6" s="16"/>
      <c r="P6" s="348"/>
      <c r="Q6" s="348"/>
      <c r="R6" s="348"/>
      <c r="S6" s="348"/>
      <c r="T6" s="389" t="s">
        <v>138</v>
      </c>
      <c r="U6" s="389"/>
      <c r="V6" s="389"/>
      <c r="W6" s="389" t="s">
        <v>24</v>
      </c>
      <c r="X6" s="389"/>
      <c r="Y6" s="389"/>
      <c r="Z6" s="389" t="s">
        <v>140</v>
      </c>
      <c r="AA6" s="389"/>
    </row>
    <row r="7" spans="1:35" ht="9.75" customHeight="1">
      <c r="A7" s="155" t="s">
        <v>227</v>
      </c>
      <c r="B7" s="9"/>
      <c r="C7" s="17"/>
      <c r="D7" s="17"/>
      <c r="E7" s="18"/>
      <c r="F7" s="9"/>
      <c r="G7" s="17"/>
      <c r="H7" s="17"/>
      <c r="J7" s="5"/>
      <c r="K7" s="13"/>
      <c r="L7" s="151"/>
      <c r="R7" s="72"/>
      <c r="T7" s="390"/>
      <c r="U7" s="391"/>
      <c r="V7" s="392"/>
      <c r="W7" s="390"/>
      <c r="X7" s="391"/>
      <c r="Y7" s="392"/>
      <c r="Z7" s="390"/>
      <c r="AA7" s="392"/>
    </row>
    <row r="8" spans="1:35" ht="9" customHeight="1">
      <c r="A8" s="155"/>
      <c r="B8" s="9"/>
      <c r="E8" s="18"/>
      <c r="F8" s="9"/>
      <c r="J8" s="10"/>
      <c r="K8" s="11"/>
      <c r="L8" s="19"/>
      <c r="R8" s="72"/>
      <c r="T8" s="393"/>
      <c r="U8" s="394"/>
      <c r="V8" s="395"/>
      <c r="W8" s="393"/>
      <c r="X8" s="394"/>
      <c r="Y8" s="395"/>
      <c r="Z8" s="393"/>
      <c r="AA8" s="395"/>
    </row>
    <row r="9" spans="1:35" ht="12.6" customHeight="1">
      <c r="A9" s="155" t="s">
        <v>226</v>
      </c>
      <c r="B9" s="322"/>
      <c r="C9" s="323"/>
      <c r="D9" s="323"/>
      <c r="E9" s="324"/>
      <c r="F9" s="152"/>
      <c r="G9" s="153"/>
      <c r="H9" s="153"/>
      <c r="I9" s="154"/>
      <c r="J9" s="152"/>
      <c r="K9" s="153"/>
      <c r="L9" s="154"/>
      <c r="R9" s="72"/>
      <c r="T9" s="322"/>
      <c r="U9" s="323"/>
      <c r="V9" s="324"/>
      <c r="W9" s="322"/>
      <c r="X9" s="323"/>
      <c r="Y9" s="324"/>
      <c r="Z9" s="322"/>
      <c r="AA9" s="324"/>
    </row>
    <row r="10" spans="1:35" ht="24.75" customHeight="1">
      <c r="B10" s="382" t="s">
        <v>214</v>
      </c>
      <c r="C10" s="382"/>
      <c r="D10" s="382"/>
      <c r="R10" s="72"/>
      <c r="T10" s="5" t="s">
        <v>136</v>
      </c>
      <c r="U10" s="6"/>
      <c r="V10" s="6"/>
      <c r="W10" s="157"/>
      <c r="X10" s="157" t="s">
        <v>383</v>
      </c>
      <c r="Y10" s="157"/>
      <c r="Z10" s="6"/>
      <c r="AA10" s="14"/>
    </row>
    <row r="11" spans="1:35" ht="19.5" customHeight="1">
      <c r="B11" s="382"/>
      <c r="C11" s="382"/>
      <c r="D11" s="382"/>
      <c r="N11" s="8"/>
      <c r="R11" s="72"/>
      <c r="T11" s="9" t="s">
        <v>137</v>
      </c>
      <c r="U11" s="11"/>
      <c r="V11" s="11"/>
      <c r="W11" s="158"/>
      <c r="X11" s="158" t="s">
        <v>379</v>
      </c>
      <c r="Y11" s="158"/>
      <c r="Z11" s="11"/>
      <c r="AA11" s="19"/>
    </row>
    <row r="12" spans="1:35" ht="14.45" customHeight="1">
      <c r="B12" s="346" t="s">
        <v>18</v>
      </c>
      <c r="C12" s="5" t="s">
        <v>54</v>
      </c>
      <c r="D12" s="6"/>
      <c r="E12" s="55"/>
      <c r="F12" s="55"/>
      <c r="G12" s="413" t="s">
        <v>398</v>
      </c>
      <c r="H12" s="413"/>
      <c r="I12" s="413"/>
      <c r="J12" s="413"/>
      <c r="K12" s="413"/>
      <c r="L12" s="413"/>
      <c r="M12" s="413"/>
      <c r="N12" s="146" t="s">
        <v>143</v>
      </c>
      <c r="O12" s="55"/>
      <c r="P12" s="55"/>
      <c r="Q12" s="325" t="s">
        <v>394</v>
      </c>
      <c r="R12" s="326"/>
      <c r="S12" s="326"/>
      <c r="T12" s="327"/>
      <c r="U12" s="108" t="s">
        <v>141</v>
      </c>
      <c r="AA12" s="18"/>
    </row>
    <row r="13" spans="1:35" ht="15.75" customHeight="1">
      <c r="B13" s="346"/>
      <c r="C13" s="10"/>
      <c r="D13" s="11"/>
      <c r="E13" s="56"/>
      <c r="F13" s="56"/>
      <c r="G13" s="413"/>
      <c r="H13" s="413"/>
      <c r="I13" s="413"/>
      <c r="J13" s="413"/>
      <c r="K13" s="413"/>
      <c r="L13" s="413"/>
      <c r="M13" s="413"/>
      <c r="N13" s="56"/>
      <c r="O13" s="56"/>
      <c r="P13" s="56"/>
      <c r="Q13" s="328"/>
      <c r="R13" s="329"/>
      <c r="S13" s="329"/>
      <c r="T13" s="330"/>
      <c r="U13" s="10"/>
      <c r="V13" s="388" t="s">
        <v>106</v>
      </c>
      <c r="W13" s="388"/>
      <c r="X13" s="388"/>
      <c r="Y13" s="388"/>
      <c r="Z13" s="386" t="s">
        <v>106</v>
      </c>
      <c r="AA13" s="387"/>
    </row>
    <row r="14" spans="1:35" ht="14.45" customHeight="1">
      <c r="B14" s="346"/>
      <c r="C14" s="5" t="s">
        <v>142</v>
      </c>
      <c r="D14" s="6"/>
      <c r="E14" s="6"/>
      <c r="F14" s="14"/>
      <c r="G14" s="5" t="s">
        <v>35</v>
      </c>
      <c r="H14" s="6"/>
      <c r="I14" s="6"/>
      <c r="J14" s="13"/>
      <c r="K14" s="6"/>
      <c r="L14" s="14"/>
      <c r="M14" s="5" t="s">
        <v>90</v>
      </c>
      <c r="N14" s="6"/>
      <c r="O14" s="347" t="s">
        <v>377</v>
      </c>
      <c r="P14" s="347"/>
      <c r="Q14" s="347"/>
      <c r="R14" s="347"/>
      <c r="S14" s="13" t="s">
        <v>50</v>
      </c>
      <c r="T14" s="347" t="s">
        <v>378</v>
      </c>
      <c r="U14" s="347"/>
      <c r="V14" s="347"/>
      <c r="W14" s="347"/>
      <c r="X14" s="6" t="s">
        <v>91</v>
      </c>
      <c r="Y14" s="114" t="s">
        <v>180</v>
      </c>
      <c r="Z14" s="114"/>
      <c r="AA14" s="115"/>
    </row>
    <row r="15" spans="1:35" ht="11.25" customHeight="1" thickBot="1">
      <c r="B15" s="346"/>
      <c r="C15" s="20"/>
      <c r="D15" s="159">
        <v>2</v>
      </c>
      <c r="E15" s="12" t="s">
        <v>17</v>
      </c>
      <c r="F15" s="19"/>
      <c r="G15" s="9"/>
      <c r="H15" s="342">
        <v>45282</v>
      </c>
      <c r="I15" s="342"/>
      <c r="J15" s="342"/>
      <c r="K15" s="342"/>
      <c r="L15" s="19"/>
      <c r="M15" s="10"/>
      <c r="N15" s="11"/>
      <c r="O15" s="65"/>
      <c r="P15" s="359"/>
      <c r="Q15" s="359"/>
      <c r="R15" s="11"/>
      <c r="T15" s="4"/>
      <c r="U15" s="408"/>
      <c r="V15" s="408"/>
      <c r="W15" s="408"/>
      <c r="X15" s="408"/>
      <c r="Y15" s="408"/>
      <c r="AA15" s="18"/>
      <c r="AD15" s="51"/>
      <c r="AI15" s="51"/>
    </row>
    <row r="16" spans="1:35" ht="12.6" customHeight="1">
      <c r="B16" s="343" t="s">
        <v>16</v>
      </c>
      <c r="C16" s="5" t="s">
        <v>230</v>
      </c>
      <c r="D16" s="309"/>
      <c r="E16" s="6"/>
      <c r="F16" s="6" t="s">
        <v>231</v>
      </c>
      <c r="G16" s="156"/>
      <c r="H16" s="160" t="s">
        <v>228</v>
      </c>
      <c r="I16" s="6"/>
      <c r="J16" s="6"/>
      <c r="K16" s="6"/>
      <c r="L16" s="13"/>
      <c r="M16" s="15" t="s">
        <v>123</v>
      </c>
      <c r="N16" s="15"/>
      <c r="O16" s="6"/>
      <c r="P16" s="15" t="s">
        <v>15</v>
      </c>
      <c r="Q16" s="15"/>
      <c r="R16" s="6"/>
      <c r="S16" s="292" t="s">
        <v>235</v>
      </c>
      <c r="T16" s="293"/>
      <c r="U16" s="294"/>
      <c r="V16" s="295"/>
      <c r="W16" s="294" t="s">
        <v>233</v>
      </c>
      <c r="X16" s="294"/>
      <c r="Y16" s="296"/>
      <c r="Z16" s="296" t="s">
        <v>234</v>
      </c>
      <c r="AA16" s="297"/>
    </row>
    <row r="17" spans="2:27" ht="13.5" customHeight="1" thickBot="1">
      <c r="B17" s="344"/>
      <c r="C17" s="377">
        <v>300</v>
      </c>
      <c r="D17" s="378"/>
      <c r="E17" s="378"/>
      <c r="F17" s="378"/>
      <c r="G17" s="22" t="s">
        <v>14</v>
      </c>
      <c r="H17" s="384">
        <v>150</v>
      </c>
      <c r="I17" s="385"/>
      <c r="J17" s="385"/>
      <c r="K17" s="385"/>
      <c r="L17" s="102" t="s">
        <v>124</v>
      </c>
      <c r="M17" s="363"/>
      <c r="N17" s="363"/>
      <c r="O17" s="102" t="s">
        <v>125</v>
      </c>
      <c r="P17" s="363">
        <v>150</v>
      </c>
      <c r="Q17" s="363"/>
      <c r="R17" s="102" t="s">
        <v>81</v>
      </c>
      <c r="S17" s="396" t="s">
        <v>236</v>
      </c>
      <c r="T17" s="397"/>
      <c r="U17" s="397"/>
      <c r="V17" s="398"/>
      <c r="W17" s="298"/>
      <c r="X17" s="299"/>
      <c r="Y17" s="411"/>
      <c r="Z17" s="411"/>
      <c r="AA17" s="300"/>
    </row>
    <row r="18" spans="2:27" ht="14.45" customHeight="1">
      <c r="B18" s="344"/>
      <c r="C18" s="5" t="s">
        <v>71</v>
      </c>
      <c r="D18" s="6"/>
      <c r="E18" s="6"/>
      <c r="F18" s="6"/>
      <c r="G18" s="14"/>
      <c r="H18" s="5" t="s">
        <v>70</v>
      </c>
      <c r="I18" s="6"/>
      <c r="J18" s="6"/>
      <c r="K18" s="6"/>
      <c r="L18" s="14"/>
      <c r="M18" s="5" t="s">
        <v>83</v>
      </c>
      <c r="N18" s="6"/>
      <c r="O18" s="6"/>
      <c r="P18" s="6"/>
      <c r="Q18" s="6"/>
      <c r="R18" s="23"/>
      <c r="S18" s="2" t="s">
        <v>85</v>
      </c>
      <c r="T18" s="2" t="s">
        <v>82</v>
      </c>
      <c r="V18" s="408">
        <v>31257002</v>
      </c>
      <c r="W18" s="408"/>
      <c r="X18" s="408"/>
      <c r="Y18" s="408"/>
      <c r="Z18" s="408"/>
      <c r="AA18" s="18" t="s">
        <v>81</v>
      </c>
    </row>
    <row r="19" spans="2:27" ht="14.25" customHeight="1">
      <c r="B19" s="345"/>
      <c r="C19" s="414" t="s">
        <v>381</v>
      </c>
      <c r="D19" s="415"/>
      <c r="E19" s="415"/>
      <c r="F19" s="415"/>
      <c r="G19" s="416"/>
      <c r="H19" s="360" t="s">
        <v>384</v>
      </c>
      <c r="I19" s="361"/>
      <c r="J19" s="361"/>
      <c r="K19" s="361"/>
      <c r="L19" s="362"/>
      <c r="M19" s="54" t="s">
        <v>52</v>
      </c>
      <c r="N19" s="11"/>
      <c r="O19" s="11"/>
      <c r="P19" s="11"/>
      <c r="Q19" s="11"/>
      <c r="R19" s="7"/>
      <c r="S19" s="11" t="s">
        <v>84</v>
      </c>
      <c r="T19" s="11" t="s">
        <v>144</v>
      </c>
      <c r="U19" s="11"/>
      <c r="V19" s="11"/>
      <c r="W19" s="11"/>
      <c r="X19" s="11"/>
      <c r="Y19" s="11"/>
      <c r="Z19" s="11"/>
      <c r="AA19" s="19" t="s">
        <v>81</v>
      </c>
    </row>
    <row r="20" spans="2:27" ht="12.6" customHeight="1">
      <c r="B20" s="343" t="s">
        <v>19</v>
      </c>
      <c r="C20" s="135" t="s">
        <v>20</v>
      </c>
      <c r="D20" s="6"/>
      <c r="E20" s="6"/>
      <c r="F20" s="6"/>
      <c r="G20" s="6"/>
      <c r="H20" s="6"/>
      <c r="I20" s="6"/>
      <c r="J20" s="6"/>
      <c r="K20" s="6"/>
      <c r="L20" s="6"/>
      <c r="M20" s="6"/>
      <c r="N20" s="6"/>
      <c r="O20" s="6"/>
      <c r="P20" s="6"/>
      <c r="Q20" s="6"/>
      <c r="R20" s="5" t="s">
        <v>380</v>
      </c>
      <c r="S20" s="6"/>
      <c r="T20" s="6"/>
      <c r="U20" s="6"/>
      <c r="V20" s="6"/>
      <c r="W20" s="6"/>
      <c r="X20" s="6"/>
      <c r="Y20" s="6"/>
      <c r="Z20" s="6"/>
      <c r="AA20" s="14"/>
    </row>
    <row r="21" spans="2:27" ht="13.5" customHeight="1">
      <c r="B21" s="344"/>
      <c r="C21" s="333"/>
      <c r="D21" s="334"/>
      <c r="E21" s="334"/>
      <c r="F21" s="334"/>
      <c r="G21" s="334"/>
      <c r="H21" s="334"/>
      <c r="I21" s="334"/>
      <c r="J21" s="334"/>
      <c r="K21" s="334"/>
      <c r="L21" s="334"/>
      <c r="M21" s="334"/>
      <c r="N21" s="334"/>
      <c r="O21" s="334"/>
      <c r="P21" s="334"/>
      <c r="Q21" s="335"/>
      <c r="R21" s="9"/>
      <c r="AA21" s="18"/>
    </row>
    <row r="22" spans="2:27" ht="13.5" customHeight="1">
      <c r="B22" s="344"/>
      <c r="C22" s="333"/>
      <c r="D22" s="334"/>
      <c r="E22" s="334"/>
      <c r="F22" s="334"/>
      <c r="G22" s="334"/>
      <c r="H22" s="334"/>
      <c r="I22" s="334"/>
      <c r="J22" s="334"/>
      <c r="K22" s="334"/>
      <c r="L22" s="334"/>
      <c r="M22" s="334"/>
      <c r="N22" s="334"/>
      <c r="O22" s="334"/>
      <c r="P22" s="334"/>
      <c r="Q22" s="335"/>
      <c r="R22" s="24"/>
      <c r="X22" s="25"/>
      <c r="AA22" s="18"/>
    </row>
    <row r="23" spans="2:27" ht="13.5" customHeight="1">
      <c r="B23" s="344"/>
      <c r="C23" s="333"/>
      <c r="D23" s="334"/>
      <c r="E23" s="334"/>
      <c r="F23" s="334"/>
      <c r="G23" s="334"/>
      <c r="H23" s="334"/>
      <c r="I23" s="334"/>
      <c r="J23" s="334"/>
      <c r="K23" s="334"/>
      <c r="L23" s="334"/>
      <c r="M23" s="334"/>
      <c r="N23" s="334"/>
      <c r="O23" s="334"/>
      <c r="P23" s="334"/>
      <c r="Q23" s="335"/>
      <c r="R23" s="26"/>
      <c r="S23" s="27"/>
      <c r="T23" s="27"/>
      <c r="U23" s="27"/>
      <c r="V23" s="27"/>
      <c r="W23" s="27"/>
      <c r="X23" s="27"/>
      <c r="Y23" s="27"/>
      <c r="Z23" s="27"/>
      <c r="AA23" s="28"/>
    </row>
    <row r="24" spans="2:27" ht="13.5" customHeight="1">
      <c r="B24" s="344"/>
      <c r="C24" s="333"/>
      <c r="D24" s="334"/>
      <c r="E24" s="334"/>
      <c r="F24" s="334"/>
      <c r="G24" s="334"/>
      <c r="H24" s="334"/>
      <c r="I24" s="334"/>
      <c r="J24" s="334"/>
      <c r="K24" s="334"/>
      <c r="L24" s="334"/>
      <c r="M24" s="334"/>
      <c r="N24" s="334"/>
      <c r="O24" s="334"/>
      <c r="P24" s="334"/>
      <c r="Q24" s="335"/>
      <c r="R24" s="84"/>
      <c r="S24" s="27"/>
      <c r="T24" s="27"/>
      <c r="U24" s="27" t="s">
        <v>392</v>
      </c>
      <c r="V24" s="27"/>
      <c r="W24" s="27"/>
      <c r="X24" s="85"/>
      <c r="Y24" s="27"/>
      <c r="Z24" s="27"/>
      <c r="AA24" s="28"/>
    </row>
    <row r="25" spans="2:27" ht="15.75" customHeight="1">
      <c r="B25" s="344"/>
      <c r="C25" s="333"/>
      <c r="D25" s="334"/>
      <c r="E25" s="334"/>
      <c r="F25" s="334"/>
      <c r="G25" s="334"/>
      <c r="H25" s="334"/>
      <c r="I25" s="334"/>
      <c r="J25" s="334"/>
      <c r="K25" s="334"/>
      <c r="L25" s="334"/>
      <c r="M25" s="334"/>
      <c r="N25" s="334"/>
      <c r="O25" s="334"/>
      <c r="P25" s="334"/>
      <c r="Q25" s="335"/>
      <c r="R25" s="84"/>
      <c r="S25" s="27"/>
      <c r="T25" s="27"/>
      <c r="U25" s="27"/>
      <c r="V25" s="27"/>
      <c r="W25" s="27"/>
      <c r="X25" s="27"/>
      <c r="Y25" s="27"/>
      <c r="Z25" s="27"/>
      <c r="AA25" s="28"/>
    </row>
    <row r="26" spans="2:27" ht="13.5" hidden="1" customHeight="1">
      <c r="B26" s="344"/>
      <c r="C26" s="333"/>
      <c r="D26" s="334"/>
      <c r="E26" s="334"/>
      <c r="F26" s="334"/>
      <c r="G26" s="334"/>
      <c r="H26" s="334"/>
      <c r="I26" s="334"/>
      <c r="J26" s="334"/>
      <c r="K26" s="334"/>
      <c r="L26" s="334"/>
      <c r="M26" s="334"/>
      <c r="N26" s="334"/>
      <c r="O26" s="334"/>
      <c r="P26" s="334"/>
      <c r="Q26" s="335"/>
      <c r="R26" s="29"/>
      <c r="S26" s="27"/>
      <c r="T26" s="27"/>
      <c r="U26" s="27"/>
      <c r="V26" s="27"/>
      <c r="W26" s="27"/>
      <c r="X26" s="27"/>
      <c r="Y26" s="27"/>
      <c r="Z26" s="27"/>
      <c r="AA26" s="28"/>
    </row>
    <row r="27" spans="2:27" ht="13.5" customHeight="1">
      <c r="B27" s="344"/>
      <c r="C27" s="333"/>
      <c r="D27" s="334"/>
      <c r="E27" s="334"/>
      <c r="F27" s="334"/>
      <c r="G27" s="334"/>
      <c r="H27" s="334"/>
      <c r="I27" s="334"/>
      <c r="J27" s="334"/>
      <c r="K27" s="334"/>
      <c r="L27" s="334"/>
      <c r="M27" s="334"/>
      <c r="N27" s="334"/>
      <c r="O27" s="334"/>
      <c r="P27" s="334"/>
      <c r="Q27" s="335"/>
      <c r="R27" s="29"/>
      <c r="S27" s="27"/>
      <c r="T27" s="27"/>
      <c r="U27" s="27"/>
      <c r="V27" s="27"/>
      <c r="W27" s="27"/>
      <c r="X27" s="27"/>
      <c r="Y27" s="27"/>
      <c r="Z27" s="27"/>
      <c r="AA27" s="28"/>
    </row>
    <row r="28" spans="2:27" ht="13.5" customHeight="1">
      <c r="B28" s="344"/>
      <c r="C28" s="333"/>
      <c r="D28" s="334"/>
      <c r="E28" s="334"/>
      <c r="F28" s="334"/>
      <c r="G28" s="334"/>
      <c r="H28" s="334"/>
      <c r="I28" s="334"/>
      <c r="J28" s="334"/>
      <c r="K28" s="334"/>
      <c r="L28" s="334"/>
      <c r="M28" s="334"/>
      <c r="N28" s="334"/>
      <c r="O28" s="334"/>
      <c r="P28" s="334"/>
      <c r="Q28" s="335"/>
      <c r="R28" s="29"/>
      <c r="S28" s="27"/>
      <c r="T28" s="27"/>
      <c r="U28" s="27"/>
      <c r="V28" s="27"/>
      <c r="W28" s="27"/>
      <c r="X28" s="27"/>
      <c r="Y28" s="27"/>
      <c r="Z28" s="27"/>
      <c r="AA28" s="28"/>
    </row>
    <row r="29" spans="2:27" ht="12.75" customHeight="1">
      <c r="B29" s="344"/>
      <c r="C29" s="333"/>
      <c r="D29" s="334"/>
      <c r="E29" s="334"/>
      <c r="F29" s="334"/>
      <c r="G29" s="334"/>
      <c r="H29" s="334"/>
      <c r="I29" s="334"/>
      <c r="J29" s="334"/>
      <c r="K29" s="334"/>
      <c r="L29" s="334"/>
      <c r="M29" s="334"/>
      <c r="N29" s="334"/>
      <c r="O29" s="334"/>
      <c r="P29" s="334"/>
      <c r="Q29" s="335"/>
      <c r="R29" s="29"/>
      <c r="S29" s="27"/>
      <c r="T29" s="27"/>
      <c r="U29" s="27"/>
      <c r="V29" s="27"/>
      <c r="W29" s="27"/>
      <c r="X29" s="27"/>
      <c r="Y29" s="27"/>
      <c r="Z29" s="27"/>
      <c r="AA29" s="28"/>
    </row>
    <row r="30" spans="2:27" ht="13.5" customHeight="1">
      <c r="B30" s="344"/>
      <c r="C30" s="333"/>
      <c r="D30" s="334"/>
      <c r="E30" s="334"/>
      <c r="F30" s="334"/>
      <c r="G30" s="334"/>
      <c r="H30" s="334"/>
      <c r="I30" s="334"/>
      <c r="J30" s="334"/>
      <c r="K30" s="334"/>
      <c r="L30" s="334"/>
      <c r="M30" s="334"/>
      <c r="N30" s="334"/>
      <c r="O30" s="334"/>
      <c r="P30" s="334"/>
      <c r="Q30" s="335"/>
      <c r="R30" s="29"/>
      <c r="S30" s="27"/>
      <c r="T30" s="27"/>
      <c r="U30" s="27"/>
      <c r="V30" s="27"/>
      <c r="W30" s="27"/>
      <c r="X30" s="27"/>
      <c r="Y30" s="27"/>
      <c r="Z30" s="27"/>
      <c r="AA30" s="28"/>
    </row>
    <row r="31" spans="2:27" ht="13.5" customHeight="1">
      <c r="B31" s="344"/>
      <c r="C31" s="333"/>
      <c r="D31" s="334"/>
      <c r="E31" s="334"/>
      <c r="F31" s="334"/>
      <c r="G31" s="334"/>
      <c r="H31" s="334"/>
      <c r="I31" s="334"/>
      <c r="J31" s="334"/>
      <c r="K31" s="334"/>
      <c r="L31" s="334"/>
      <c r="M31" s="334"/>
      <c r="N31" s="334"/>
      <c r="O31" s="334"/>
      <c r="P31" s="334"/>
      <c r="Q31" s="335"/>
      <c r="R31" s="30"/>
      <c r="S31" s="31"/>
      <c r="T31" s="31"/>
      <c r="U31" s="31"/>
      <c r="V31" s="31"/>
      <c r="W31" s="31"/>
      <c r="X31" s="31"/>
      <c r="Y31" s="31"/>
      <c r="Z31" s="31"/>
      <c r="AA31" s="32"/>
    </row>
    <row r="32" spans="2:27" ht="13.5" customHeight="1">
      <c r="B32" s="345"/>
      <c r="C32" s="336"/>
      <c r="D32" s="337"/>
      <c r="E32" s="337"/>
      <c r="F32" s="337"/>
      <c r="G32" s="337"/>
      <c r="H32" s="337"/>
      <c r="I32" s="337"/>
      <c r="J32" s="337"/>
      <c r="K32" s="337"/>
      <c r="L32" s="337"/>
      <c r="M32" s="337"/>
      <c r="N32" s="337"/>
      <c r="O32" s="337"/>
      <c r="P32" s="337"/>
      <c r="Q32" s="338"/>
      <c r="R32" s="9" t="s">
        <v>87</v>
      </c>
      <c r="T32" s="412"/>
      <c r="U32" s="412"/>
      <c r="V32" s="17" t="s">
        <v>21</v>
      </c>
      <c r="W32" s="33" t="s">
        <v>145</v>
      </c>
      <c r="Y32" s="407"/>
      <c r="Z32" s="407"/>
      <c r="AA32" s="34" t="s">
        <v>22</v>
      </c>
    </row>
    <row r="33" spans="2:27" ht="12.6" customHeight="1">
      <c r="B33" s="343" t="s">
        <v>41</v>
      </c>
      <c r="C33" s="135" t="s">
        <v>40</v>
      </c>
      <c r="D33" s="6"/>
      <c r="E33" s="6"/>
      <c r="F33" s="6"/>
      <c r="G33" s="6"/>
      <c r="H33" s="6"/>
      <c r="I33" s="6"/>
      <c r="J33" s="6"/>
      <c r="K33" s="6"/>
      <c r="L33" s="6"/>
      <c r="M33" s="6"/>
      <c r="N33" s="6"/>
      <c r="O33" s="6"/>
      <c r="P33" s="6"/>
      <c r="Q33" s="14"/>
      <c r="R33" s="5" t="s">
        <v>37</v>
      </c>
      <c r="S33" s="6"/>
      <c r="T33" s="6"/>
      <c r="U33" s="6"/>
      <c r="V33" s="6"/>
      <c r="W33" s="6"/>
      <c r="X33" s="6"/>
      <c r="Y33" s="6"/>
      <c r="Z33" s="6"/>
      <c r="AA33" s="14"/>
    </row>
    <row r="34" spans="2:27" ht="13.5" customHeight="1">
      <c r="B34" s="344"/>
      <c r="C34" s="370"/>
      <c r="D34" s="371"/>
      <c r="E34" s="371"/>
      <c r="F34" s="371"/>
      <c r="G34" s="371"/>
      <c r="H34" s="371"/>
      <c r="I34" s="371"/>
      <c r="J34" s="371"/>
      <c r="K34" s="371"/>
      <c r="L34" s="371"/>
      <c r="M34" s="371"/>
      <c r="N34" s="371"/>
      <c r="O34" s="371"/>
      <c r="P34" s="371"/>
      <c r="Q34" s="372"/>
      <c r="R34" s="9" t="s">
        <v>135</v>
      </c>
      <c r="S34" s="35" t="s">
        <v>38</v>
      </c>
      <c r="T34" s="36"/>
      <c r="U34" s="111"/>
      <c r="V34" s="106" t="s">
        <v>393</v>
      </c>
      <c r="W34" s="106"/>
      <c r="X34" s="106"/>
      <c r="Y34" s="106"/>
      <c r="Z34" s="106"/>
      <c r="AA34" s="107"/>
    </row>
    <row r="35" spans="2:27" ht="13.5" customHeight="1">
      <c r="B35" s="344"/>
      <c r="C35" s="373"/>
      <c r="D35" s="371"/>
      <c r="E35" s="371"/>
      <c r="F35" s="371"/>
      <c r="G35" s="371"/>
      <c r="H35" s="371"/>
      <c r="I35" s="371"/>
      <c r="J35" s="371"/>
      <c r="K35" s="371"/>
      <c r="L35" s="371"/>
      <c r="M35" s="371"/>
      <c r="N35" s="371"/>
      <c r="O35" s="371"/>
      <c r="P35" s="371"/>
      <c r="Q35" s="372"/>
      <c r="R35" s="37"/>
      <c r="S35" s="38" t="s">
        <v>39</v>
      </c>
      <c r="T35" s="39"/>
      <c r="U35" s="111"/>
      <c r="V35" s="106"/>
      <c r="W35" s="106"/>
      <c r="X35" s="106"/>
      <c r="Y35" s="106"/>
      <c r="Z35" s="106"/>
      <c r="AA35" s="107"/>
    </row>
    <row r="36" spans="2:27" ht="13.5" customHeight="1">
      <c r="B36" s="344"/>
      <c r="C36" s="373"/>
      <c r="D36" s="371"/>
      <c r="E36" s="371"/>
      <c r="F36" s="371"/>
      <c r="G36" s="371"/>
      <c r="H36" s="371"/>
      <c r="I36" s="371"/>
      <c r="J36" s="371"/>
      <c r="K36" s="371"/>
      <c r="L36" s="371"/>
      <c r="M36" s="371"/>
      <c r="N36" s="371"/>
      <c r="O36" s="371"/>
      <c r="P36" s="371"/>
      <c r="Q36" s="372"/>
      <c r="R36" s="64" t="s">
        <v>146</v>
      </c>
      <c r="U36" s="110"/>
      <c r="V36" s="331"/>
      <c r="W36" s="331"/>
      <c r="X36" s="331"/>
      <c r="Y36" s="331"/>
      <c r="Z36" s="331"/>
      <c r="AA36" s="332"/>
    </row>
    <row r="37" spans="2:27" ht="13.5" customHeight="1">
      <c r="B37" s="344"/>
      <c r="C37" s="373"/>
      <c r="D37" s="371"/>
      <c r="E37" s="371"/>
      <c r="F37" s="371"/>
      <c r="G37" s="371"/>
      <c r="H37" s="371"/>
      <c r="I37" s="371"/>
      <c r="J37" s="371"/>
      <c r="K37" s="371"/>
      <c r="L37" s="371"/>
      <c r="M37" s="371"/>
      <c r="N37" s="371"/>
      <c r="O37" s="371"/>
      <c r="P37" s="371"/>
      <c r="Q37" s="372"/>
      <c r="R37" s="5" t="s">
        <v>53</v>
      </c>
      <c r="S37" s="6"/>
      <c r="T37" s="6"/>
      <c r="U37" s="6"/>
      <c r="V37" s="6"/>
      <c r="W37" s="6"/>
      <c r="X37" s="6"/>
      <c r="Y37" s="6"/>
      <c r="Z37" s="6"/>
      <c r="AA37" s="14"/>
    </row>
    <row r="38" spans="2:27" ht="13.5" customHeight="1">
      <c r="B38" s="344"/>
      <c r="C38" s="373"/>
      <c r="D38" s="371"/>
      <c r="E38" s="371"/>
      <c r="F38" s="371"/>
      <c r="G38" s="371"/>
      <c r="H38" s="371"/>
      <c r="I38" s="371"/>
      <c r="J38" s="371"/>
      <c r="K38" s="371"/>
      <c r="L38" s="371"/>
      <c r="M38" s="371"/>
      <c r="N38" s="371"/>
      <c r="O38" s="371"/>
      <c r="P38" s="371"/>
      <c r="Q38" s="372"/>
      <c r="R38" s="10"/>
      <c r="S38" s="7"/>
      <c r="T38" s="12" t="s">
        <v>25</v>
      </c>
      <c r="U38" s="12"/>
      <c r="V38" s="7"/>
      <c r="W38" s="11" t="s">
        <v>26</v>
      </c>
      <c r="X38" s="11"/>
      <c r="Y38" s="11"/>
      <c r="Z38" s="11"/>
      <c r="AA38" s="19"/>
    </row>
    <row r="39" spans="2:27" ht="9" customHeight="1">
      <c r="B39" s="344"/>
      <c r="C39" s="373"/>
      <c r="D39" s="371"/>
      <c r="E39" s="371"/>
      <c r="F39" s="371"/>
      <c r="G39" s="371"/>
      <c r="H39" s="371"/>
      <c r="I39" s="371"/>
      <c r="J39" s="371"/>
      <c r="K39" s="371"/>
      <c r="L39" s="371"/>
      <c r="M39" s="371"/>
      <c r="N39" s="371"/>
      <c r="O39" s="371"/>
      <c r="P39" s="371"/>
      <c r="Q39" s="372"/>
      <c r="R39" s="9" t="s">
        <v>27</v>
      </c>
      <c r="AA39" s="18"/>
    </row>
    <row r="40" spans="2:27" ht="13.5" customHeight="1">
      <c r="B40" s="344"/>
      <c r="C40" s="374"/>
      <c r="D40" s="375"/>
      <c r="E40" s="375"/>
      <c r="F40" s="375"/>
      <c r="G40" s="375"/>
      <c r="H40" s="375"/>
      <c r="I40" s="375"/>
      <c r="J40" s="375"/>
      <c r="K40" s="375"/>
      <c r="L40" s="375"/>
      <c r="M40" s="375"/>
      <c r="N40" s="375"/>
      <c r="O40" s="375"/>
      <c r="P40" s="375"/>
      <c r="Q40" s="376"/>
      <c r="R40" s="10" t="s">
        <v>36</v>
      </c>
      <c r="S40" s="11"/>
      <c r="T40" s="11"/>
      <c r="U40" s="341"/>
      <c r="V40" s="341"/>
      <c r="W40" s="11" t="s">
        <v>28</v>
      </c>
      <c r="X40" s="50" t="s">
        <v>30</v>
      </c>
      <c r="Y40" s="340"/>
      <c r="Z40" s="340"/>
      <c r="AA40" s="19" t="s">
        <v>29</v>
      </c>
    </row>
    <row r="41" spans="2:27" ht="12.6" customHeight="1">
      <c r="B41" s="344"/>
      <c r="C41" s="135" t="s">
        <v>147</v>
      </c>
      <c r="D41" s="6"/>
      <c r="E41" s="6"/>
      <c r="F41" s="6"/>
      <c r="G41" s="6"/>
      <c r="H41" s="6"/>
      <c r="I41" s="6"/>
      <c r="J41" s="6"/>
      <c r="K41" s="6"/>
      <c r="L41" s="6"/>
      <c r="M41" s="6"/>
      <c r="N41" s="6"/>
      <c r="O41" s="6"/>
      <c r="P41" s="6"/>
      <c r="Q41" s="14"/>
      <c r="R41" s="5" t="s">
        <v>152</v>
      </c>
      <c r="S41" s="6"/>
      <c r="T41" s="6"/>
      <c r="U41" s="6"/>
      <c r="V41" s="6"/>
      <c r="W41" s="6"/>
      <c r="X41" s="6"/>
      <c r="Y41" s="6"/>
      <c r="Z41" s="6"/>
      <c r="AA41" s="14"/>
    </row>
    <row r="42" spans="2:27" ht="13.5" customHeight="1">
      <c r="B42" s="344"/>
      <c r="C42" s="364"/>
      <c r="D42" s="365"/>
      <c r="E42" s="365"/>
      <c r="F42" s="365"/>
      <c r="G42" s="365"/>
      <c r="H42" s="365"/>
      <c r="I42" s="365"/>
      <c r="J42" s="365"/>
      <c r="K42" s="365"/>
      <c r="L42" s="365"/>
      <c r="M42" s="365"/>
      <c r="N42" s="365"/>
      <c r="O42" s="365"/>
      <c r="P42" s="365"/>
      <c r="Q42" s="366"/>
      <c r="R42" s="9"/>
      <c r="S42" s="40"/>
      <c r="T42" s="2" t="s">
        <v>33</v>
      </c>
      <c r="AA42" s="18"/>
    </row>
    <row r="43" spans="2:27" ht="13.5" customHeight="1">
      <c r="B43" s="344"/>
      <c r="C43" s="364"/>
      <c r="D43" s="365"/>
      <c r="E43" s="365"/>
      <c r="F43" s="365"/>
      <c r="G43" s="365"/>
      <c r="H43" s="365"/>
      <c r="I43" s="365"/>
      <c r="J43" s="365"/>
      <c r="K43" s="365"/>
      <c r="L43" s="365"/>
      <c r="M43" s="365"/>
      <c r="N43" s="365"/>
      <c r="O43" s="365"/>
      <c r="P43" s="365"/>
      <c r="Q43" s="366"/>
      <c r="R43" s="10"/>
      <c r="S43" s="7"/>
      <c r="T43" s="11" t="s">
        <v>32</v>
      </c>
      <c r="U43" s="11"/>
      <c r="V43" s="11"/>
      <c r="W43" s="11"/>
      <c r="X43" s="12"/>
      <c r="Y43" s="7"/>
      <c r="Z43" s="11" t="s">
        <v>31</v>
      </c>
      <c r="AA43" s="19"/>
    </row>
    <row r="44" spans="2:27" ht="13.5" customHeight="1">
      <c r="B44" s="344"/>
      <c r="C44" s="364"/>
      <c r="D44" s="365"/>
      <c r="E44" s="365"/>
      <c r="F44" s="365"/>
      <c r="G44" s="365"/>
      <c r="H44" s="365"/>
      <c r="I44" s="365"/>
      <c r="J44" s="365"/>
      <c r="K44" s="365"/>
      <c r="L44" s="365"/>
      <c r="M44" s="365"/>
      <c r="N44" s="365"/>
      <c r="O44" s="365"/>
      <c r="P44" s="365"/>
      <c r="Q44" s="366"/>
      <c r="R44" s="333" t="s">
        <v>34</v>
      </c>
      <c r="S44" s="334"/>
      <c r="T44" s="334"/>
      <c r="U44" s="334"/>
      <c r="V44" s="334"/>
      <c r="W44" s="334"/>
      <c r="X44" s="334"/>
      <c r="Y44" s="334"/>
      <c r="Z44" s="334"/>
      <c r="AA44" s="335"/>
    </row>
    <row r="45" spans="2:27" ht="9.75" customHeight="1">
      <c r="B45" s="345"/>
      <c r="C45" s="367"/>
      <c r="D45" s="368"/>
      <c r="E45" s="368"/>
      <c r="F45" s="368"/>
      <c r="G45" s="368"/>
      <c r="H45" s="368"/>
      <c r="I45" s="368"/>
      <c r="J45" s="368"/>
      <c r="K45" s="368"/>
      <c r="L45" s="368"/>
      <c r="M45" s="368"/>
      <c r="N45" s="368"/>
      <c r="O45" s="368"/>
      <c r="P45" s="368"/>
      <c r="Q45" s="369"/>
      <c r="R45" s="336"/>
      <c r="S45" s="337"/>
      <c r="T45" s="337"/>
      <c r="U45" s="337"/>
      <c r="V45" s="337"/>
      <c r="W45" s="337"/>
      <c r="X45" s="337"/>
      <c r="Y45" s="337"/>
      <c r="Z45" s="337"/>
      <c r="AA45" s="338"/>
    </row>
    <row r="46" spans="2:27" ht="14.1" customHeight="1">
      <c r="B46" s="343" t="s">
        <v>43</v>
      </c>
      <c r="C46" s="5" t="s">
        <v>51</v>
      </c>
      <c r="D46" s="6"/>
      <c r="E46" s="6"/>
      <c r="F46" s="6"/>
      <c r="G46" s="6"/>
      <c r="H46" s="6"/>
      <c r="I46" s="6"/>
      <c r="J46" s="6"/>
      <c r="K46" s="5" t="s">
        <v>49</v>
      </c>
      <c r="L46" s="6"/>
      <c r="M46" s="6"/>
      <c r="N46" s="6"/>
      <c r="O46" s="6"/>
      <c r="P46" s="6"/>
      <c r="Q46" s="6"/>
      <c r="R46" s="6"/>
      <c r="S46" s="6"/>
      <c r="T46" s="6"/>
      <c r="U46" s="6"/>
      <c r="V46" s="6"/>
      <c r="W46" s="6"/>
      <c r="X46" s="6"/>
      <c r="Y46" s="6"/>
      <c r="Z46" s="6"/>
      <c r="AA46" s="14"/>
    </row>
    <row r="47" spans="2:27" ht="14.1" customHeight="1">
      <c r="B47" s="344"/>
      <c r="C47" s="9"/>
      <c r="D47" s="16"/>
      <c r="E47" s="17" t="s">
        <v>44</v>
      </c>
      <c r="F47" s="16"/>
      <c r="H47" s="357">
        <v>0.5</v>
      </c>
      <c r="I47" s="358"/>
      <c r="K47" s="70" t="s">
        <v>155</v>
      </c>
      <c r="N47" s="339">
        <v>300</v>
      </c>
      <c r="O47" s="339"/>
      <c r="P47" s="2" t="s">
        <v>42</v>
      </c>
      <c r="R47" s="399"/>
      <c r="S47" s="399"/>
      <c r="T47" s="53" t="s">
        <v>48</v>
      </c>
      <c r="W47" s="4" t="s">
        <v>89</v>
      </c>
      <c r="X47" s="400"/>
      <c r="Y47" s="400"/>
      <c r="Z47" s="41"/>
      <c r="AA47" s="18"/>
    </row>
    <row r="48" spans="2:27" ht="14.1" customHeight="1">
      <c r="B48" s="344"/>
      <c r="C48" s="9"/>
      <c r="D48" s="42"/>
      <c r="E48" s="52" t="s">
        <v>45</v>
      </c>
      <c r="F48" s="42"/>
      <c r="H48" s="10"/>
      <c r="I48" s="86" t="s">
        <v>47</v>
      </c>
      <c r="K48" s="70" t="s">
        <v>154</v>
      </c>
      <c r="N48" s="339"/>
      <c r="O48" s="339"/>
      <c r="P48" s="2" t="s">
        <v>153</v>
      </c>
      <c r="R48" s="383"/>
      <c r="S48" s="383"/>
      <c r="T48" s="2" t="s">
        <v>106</v>
      </c>
      <c r="W48" s="4" t="s">
        <v>106</v>
      </c>
      <c r="X48" s="348" t="s">
        <v>106</v>
      </c>
      <c r="Y48" s="348"/>
      <c r="Z48" s="25"/>
      <c r="AA48" s="66"/>
    </row>
    <row r="49" spans="2:27" ht="14.1" customHeight="1">
      <c r="B49" s="344"/>
      <c r="C49" s="9"/>
      <c r="I49" s="16"/>
      <c r="K49" s="70" t="s">
        <v>94</v>
      </c>
      <c r="L49" s="16"/>
      <c r="N49" s="339"/>
      <c r="O49" s="339"/>
      <c r="P49" s="2" t="s">
        <v>42</v>
      </c>
      <c r="R49" s="25"/>
      <c r="S49" s="25"/>
      <c r="Y49" s="25"/>
      <c r="Z49" s="25"/>
      <c r="AA49" s="66"/>
    </row>
    <row r="50" spans="2:27" ht="14.1" customHeight="1">
      <c r="B50" s="345"/>
      <c r="C50" s="10" t="s">
        <v>88</v>
      </c>
      <c r="D50" s="11"/>
      <c r="E50" s="11"/>
      <c r="F50" s="11"/>
      <c r="G50" s="11"/>
      <c r="H50" s="355"/>
      <c r="I50" s="355"/>
      <c r="J50" s="11" t="s">
        <v>46</v>
      </c>
      <c r="K50" s="71" t="s">
        <v>95</v>
      </c>
      <c r="L50" s="11"/>
      <c r="M50" s="11"/>
      <c r="N50" s="319"/>
      <c r="O50" s="319"/>
      <c r="P50" s="11" t="s">
        <v>42</v>
      </c>
      <c r="Q50" s="11"/>
      <c r="R50" s="67"/>
      <c r="S50" s="113" t="s">
        <v>156</v>
      </c>
      <c r="T50" s="11"/>
      <c r="U50" s="11"/>
      <c r="V50" s="319"/>
      <c r="W50" s="319"/>
      <c r="X50" s="11" t="s">
        <v>42</v>
      </c>
      <c r="Y50" s="11"/>
      <c r="Z50" s="67"/>
      <c r="AA50" s="68"/>
    </row>
    <row r="51" spans="2:27" ht="12.6" customHeight="1">
      <c r="B51" s="5" t="s">
        <v>232</v>
      </c>
      <c r="C51" s="6"/>
      <c r="D51" s="6"/>
      <c r="E51" s="6"/>
      <c r="F51" s="6"/>
      <c r="G51" s="6"/>
      <c r="H51" s="6"/>
      <c r="I51" s="6"/>
      <c r="J51" s="6"/>
      <c r="M51" s="53"/>
      <c r="Y51" s="16"/>
      <c r="Z51" s="16"/>
      <c r="AA51" s="112"/>
    </row>
    <row r="52" spans="2:27" ht="13.5" customHeight="1">
      <c r="B52" s="9"/>
      <c r="C52" s="40"/>
      <c r="D52" s="75" t="s">
        <v>100</v>
      </c>
      <c r="E52" s="43"/>
      <c r="F52" s="43"/>
      <c r="G52" s="44" t="s">
        <v>92</v>
      </c>
      <c r="H52" s="45"/>
      <c r="I52" s="46"/>
      <c r="J52" s="75" t="s">
        <v>101</v>
      </c>
      <c r="K52" s="16"/>
      <c r="L52" s="16"/>
      <c r="M52" s="16"/>
      <c r="N52" s="44"/>
      <c r="O52" s="45"/>
      <c r="P52" s="69" t="s">
        <v>93</v>
      </c>
      <c r="Q52" s="45"/>
      <c r="R52" s="46"/>
      <c r="S52" s="79" t="s">
        <v>148</v>
      </c>
      <c r="T52" s="80"/>
      <c r="U52" s="81"/>
      <c r="V52" s="79" t="s">
        <v>149</v>
      </c>
      <c r="W52" s="80"/>
      <c r="X52" s="81"/>
      <c r="Y52" s="83" t="s">
        <v>106</v>
      </c>
      <c r="Z52" s="83"/>
      <c r="AA52" s="18"/>
    </row>
    <row r="53" spans="2:27" ht="13.5" customHeight="1">
      <c r="B53" s="9"/>
      <c r="C53" s="40"/>
      <c r="D53" s="75" t="s">
        <v>99</v>
      </c>
      <c r="G53" s="349"/>
      <c r="H53" s="350"/>
      <c r="I53" s="351"/>
      <c r="K53" s="1"/>
      <c r="L53" s="17" t="s">
        <v>85</v>
      </c>
      <c r="M53" s="43"/>
      <c r="N53" s="352"/>
      <c r="O53" s="353"/>
      <c r="P53" s="353"/>
      <c r="Q53" s="353"/>
      <c r="R53" s="354"/>
      <c r="S53" s="320"/>
      <c r="T53" s="321"/>
      <c r="U53" s="47" t="s">
        <v>28</v>
      </c>
      <c r="V53" s="320"/>
      <c r="W53" s="321"/>
      <c r="X53" s="47" t="s">
        <v>28</v>
      </c>
      <c r="Y53" s="76"/>
      <c r="Z53" s="76"/>
      <c r="AA53" s="18"/>
    </row>
    <row r="54" spans="2:27" ht="13.5" customHeight="1">
      <c r="B54" s="9"/>
      <c r="C54" s="40"/>
      <c r="D54" s="75" t="s">
        <v>98</v>
      </c>
      <c r="G54" s="349"/>
      <c r="H54" s="350"/>
      <c r="I54" s="351"/>
      <c r="K54" s="1"/>
      <c r="L54" s="17" t="s">
        <v>85</v>
      </c>
      <c r="M54" s="43"/>
      <c r="N54" s="352"/>
      <c r="O54" s="353"/>
      <c r="P54" s="353"/>
      <c r="Q54" s="353"/>
      <c r="R54" s="354"/>
      <c r="S54" s="320"/>
      <c r="T54" s="321"/>
      <c r="U54" s="47" t="s">
        <v>28</v>
      </c>
      <c r="V54" s="320"/>
      <c r="W54" s="321"/>
      <c r="X54" s="47" t="s">
        <v>28</v>
      </c>
      <c r="Y54" s="76"/>
      <c r="Z54" s="76"/>
      <c r="AA54" s="18"/>
    </row>
    <row r="55" spans="2:27" ht="13.5" customHeight="1">
      <c r="B55" s="64"/>
      <c r="C55" s="82" t="s">
        <v>103</v>
      </c>
      <c r="G55" s="349"/>
      <c r="H55" s="350"/>
      <c r="I55" s="351"/>
      <c r="K55" s="1"/>
      <c r="L55" s="17" t="s">
        <v>85</v>
      </c>
      <c r="M55" s="43"/>
      <c r="N55" s="352"/>
      <c r="O55" s="353"/>
      <c r="P55" s="353"/>
      <c r="Q55" s="353"/>
      <c r="R55" s="354"/>
      <c r="S55" s="320"/>
      <c r="T55" s="321"/>
      <c r="U55" s="47" t="s">
        <v>28</v>
      </c>
      <c r="V55" s="320"/>
      <c r="W55" s="321"/>
      <c r="X55" s="47" t="s">
        <v>28</v>
      </c>
      <c r="Y55" s="76"/>
      <c r="Z55" s="76"/>
      <c r="AA55" s="18"/>
    </row>
    <row r="56" spans="2:27" ht="13.5" customHeight="1">
      <c r="B56" s="9"/>
      <c r="G56" s="349"/>
      <c r="H56" s="350"/>
      <c r="I56" s="351"/>
      <c r="K56" s="1"/>
      <c r="L56" s="17" t="s">
        <v>85</v>
      </c>
      <c r="M56" s="43"/>
      <c r="N56" s="352"/>
      <c r="O56" s="353"/>
      <c r="P56" s="353"/>
      <c r="Q56" s="353"/>
      <c r="R56" s="354"/>
      <c r="S56" s="320"/>
      <c r="T56" s="321"/>
      <c r="U56" s="47" t="s">
        <v>28</v>
      </c>
      <c r="V56" s="320"/>
      <c r="W56" s="321"/>
      <c r="X56" s="47" t="s">
        <v>28</v>
      </c>
      <c r="Y56" s="76"/>
      <c r="Z56" s="76"/>
      <c r="AA56" s="18"/>
    </row>
    <row r="57" spans="2:27" ht="13.5" customHeight="1">
      <c r="B57" s="9"/>
      <c r="H57" s="75"/>
      <c r="I57" s="75"/>
      <c r="L57" s="17"/>
      <c r="M57" s="43"/>
      <c r="N57" s="75" t="s">
        <v>102</v>
      </c>
      <c r="O57" s="17"/>
      <c r="P57" s="77"/>
      <c r="Q57" s="77"/>
      <c r="R57" s="77"/>
      <c r="S57" s="77"/>
      <c r="T57" s="77"/>
      <c r="U57" s="78"/>
      <c r="V57" s="78"/>
      <c r="W57" s="76"/>
      <c r="X57" s="78"/>
      <c r="Y57" s="78"/>
      <c r="Z57" s="76"/>
      <c r="AA57" s="18"/>
    </row>
    <row r="58" spans="2:27" ht="5.0999999999999996" customHeight="1">
      <c r="B58" s="10"/>
      <c r="C58" s="11"/>
      <c r="D58" s="11"/>
      <c r="E58" s="11"/>
      <c r="F58" s="11"/>
      <c r="G58" s="11"/>
      <c r="H58" s="11"/>
      <c r="I58" s="11"/>
      <c r="J58" s="11"/>
      <c r="K58" s="11"/>
      <c r="L58" s="11"/>
      <c r="M58" s="11"/>
      <c r="N58" s="11"/>
      <c r="O58" s="11"/>
      <c r="P58" s="11"/>
      <c r="Q58" s="11"/>
      <c r="R58" s="11"/>
      <c r="S58" s="11"/>
      <c r="T58" s="11"/>
      <c r="U58" s="11"/>
      <c r="V58" s="11"/>
      <c r="W58" s="11"/>
      <c r="X58" s="11"/>
      <c r="Y58" s="11"/>
      <c r="Z58" s="11"/>
      <c r="AA58" s="19"/>
    </row>
    <row r="59" spans="2:27" ht="12" customHeight="1">
      <c r="B59" s="401" t="s">
        <v>215</v>
      </c>
      <c r="C59" s="401"/>
      <c r="D59" s="401"/>
      <c r="E59" s="401"/>
      <c r="F59" s="401"/>
      <c r="G59" s="145"/>
      <c r="H59" s="145"/>
      <c r="I59" s="145"/>
      <c r="J59" s="145"/>
      <c r="K59" s="145"/>
      <c r="L59" s="145"/>
      <c r="M59" s="145"/>
      <c r="N59" s="409" t="s">
        <v>224</v>
      </c>
      <c r="O59" s="410"/>
      <c r="P59" s="410"/>
      <c r="Q59" s="410"/>
      <c r="R59" s="410"/>
      <c r="S59" s="144"/>
      <c r="T59" s="144"/>
      <c r="U59" s="144"/>
      <c r="V59" s="144"/>
      <c r="W59" s="144"/>
      <c r="X59" s="144"/>
      <c r="Y59" s="144"/>
      <c r="Z59" s="144"/>
      <c r="AA59" s="144"/>
    </row>
    <row r="60" spans="2:27" ht="9.9499999999999993" customHeight="1">
      <c r="B60" s="402" t="s">
        <v>216</v>
      </c>
      <c r="C60" s="402"/>
      <c r="D60" s="402"/>
      <c r="E60" s="147"/>
      <c r="F60" s="147"/>
      <c r="G60" s="147"/>
      <c r="H60" s="402" t="s">
        <v>217</v>
      </c>
      <c r="I60" s="402"/>
      <c r="J60" s="147"/>
      <c r="K60" s="147"/>
      <c r="L60" s="147"/>
      <c r="M60" s="147"/>
      <c r="N60" s="402" t="s">
        <v>218</v>
      </c>
      <c r="O60" s="402"/>
      <c r="P60" s="402"/>
      <c r="Q60" s="402"/>
      <c r="R60" s="402"/>
      <c r="S60" s="147"/>
      <c r="T60" s="147"/>
      <c r="U60" s="147"/>
      <c r="V60" s="147"/>
      <c r="W60" s="147"/>
      <c r="X60" s="147"/>
      <c r="Y60" s="402" t="s">
        <v>219</v>
      </c>
      <c r="Z60" s="402"/>
      <c r="AA60" s="147"/>
    </row>
    <row r="61" spans="2:27" ht="9.9499999999999993" customHeight="1">
      <c r="B61" s="402"/>
      <c r="C61" s="402"/>
      <c r="D61" s="402"/>
      <c r="E61" s="148"/>
      <c r="F61" s="149"/>
      <c r="G61" s="150"/>
      <c r="H61" s="402"/>
      <c r="I61" s="402"/>
      <c r="J61" s="148"/>
      <c r="K61" s="149"/>
      <c r="L61" s="149"/>
      <c r="M61" s="150"/>
      <c r="N61" s="402"/>
      <c r="O61" s="402"/>
      <c r="P61" s="402"/>
      <c r="Q61" s="402"/>
      <c r="R61" s="402"/>
      <c r="S61" s="148"/>
      <c r="T61" s="149"/>
      <c r="U61" s="149"/>
      <c r="V61" s="149"/>
      <c r="W61" s="149"/>
      <c r="X61" s="150"/>
      <c r="Y61" s="402"/>
      <c r="Z61" s="402"/>
      <c r="AA61" s="147"/>
    </row>
    <row r="62" spans="2:27" ht="13.5" customHeight="1">
      <c r="B62" s="418" t="s">
        <v>220</v>
      </c>
      <c r="C62" s="418"/>
      <c r="D62" s="418"/>
      <c r="E62" s="147"/>
      <c r="F62" s="147"/>
      <c r="G62" s="147"/>
      <c r="H62" s="418" t="s">
        <v>221</v>
      </c>
      <c r="I62" s="418"/>
      <c r="J62" s="147"/>
      <c r="K62" s="147"/>
      <c r="L62" s="147"/>
      <c r="M62" s="147"/>
      <c r="N62" s="418" t="s">
        <v>222</v>
      </c>
      <c r="O62" s="418"/>
      <c r="P62" s="418"/>
      <c r="Q62" s="418"/>
      <c r="R62" s="418"/>
      <c r="S62" s="147"/>
      <c r="T62" s="147"/>
      <c r="U62" s="147"/>
      <c r="V62" s="147"/>
      <c r="W62" s="147"/>
      <c r="X62" s="147"/>
      <c r="Y62" s="418" t="s">
        <v>223</v>
      </c>
      <c r="Z62" s="418"/>
      <c r="AA62" s="147"/>
    </row>
    <row r="63" spans="2:27" ht="12.95" customHeight="1">
      <c r="B63" s="417" t="s">
        <v>225</v>
      </c>
      <c r="C63" s="417"/>
      <c r="D63" s="417"/>
      <c r="E63" s="417"/>
      <c r="F63" s="417"/>
      <c r="G63" s="417"/>
      <c r="H63" s="417"/>
      <c r="I63" s="417"/>
      <c r="J63" s="417"/>
      <c r="K63" s="417"/>
      <c r="L63" s="417"/>
      <c r="M63" s="417"/>
      <c r="N63" s="417"/>
      <c r="O63" s="417"/>
      <c r="P63" s="417"/>
      <c r="Q63" s="417"/>
      <c r="R63" s="417"/>
      <c r="S63" s="417"/>
      <c r="T63" s="417"/>
      <c r="U63" s="417"/>
      <c r="V63" s="417"/>
      <c r="W63" s="417"/>
      <c r="X63" s="417"/>
      <c r="Y63" s="417"/>
      <c r="Z63" s="417"/>
      <c r="AA63" s="417"/>
    </row>
    <row r="64" spans="2:27" ht="13.5" customHeight="1">
      <c r="B64" s="77" t="s">
        <v>370</v>
      </c>
      <c r="J64" s="143" t="s">
        <v>96</v>
      </c>
      <c r="Y64" s="77" t="s">
        <v>371</v>
      </c>
    </row>
  </sheetData>
  <mergeCells count="87">
    <mergeCell ref="V56:W56"/>
    <mergeCell ref="V54:W54"/>
    <mergeCell ref="B63:AA63"/>
    <mergeCell ref="H60:I61"/>
    <mergeCell ref="N60:R61"/>
    <mergeCell ref="Y60:Z61"/>
    <mergeCell ref="B62:D62"/>
    <mergeCell ref="H62:I62"/>
    <mergeCell ref="N62:R62"/>
    <mergeCell ref="Y62:Z62"/>
    <mergeCell ref="G56:I56"/>
    <mergeCell ref="N56:R56"/>
    <mergeCell ref="S56:T56"/>
    <mergeCell ref="G55:I55"/>
    <mergeCell ref="N55:R55"/>
    <mergeCell ref="S55:T55"/>
    <mergeCell ref="R47:S47"/>
    <mergeCell ref="X47:Y47"/>
    <mergeCell ref="B59:F59"/>
    <mergeCell ref="B60:D61"/>
    <mergeCell ref="J6:L6"/>
    <mergeCell ref="B6:E6"/>
    <mergeCell ref="Y32:Z32"/>
    <mergeCell ref="W6:Y6"/>
    <mergeCell ref="V18:Z18"/>
    <mergeCell ref="N59:R59"/>
    <mergeCell ref="Y17:Z17"/>
    <mergeCell ref="U15:Y15"/>
    <mergeCell ref="T32:U32"/>
    <mergeCell ref="G12:M13"/>
    <mergeCell ref="C19:G19"/>
    <mergeCell ref="B16:B19"/>
    <mergeCell ref="H17:K17"/>
    <mergeCell ref="X5:AA5"/>
    <mergeCell ref="T14:W14"/>
    <mergeCell ref="Z13:AA13"/>
    <mergeCell ref="V13:Y13"/>
    <mergeCell ref="Z6:AA6"/>
    <mergeCell ref="T6:V6"/>
    <mergeCell ref="T7:V8"/>
    <mergeCell ref="W7:Y8"/>
    <mergeCell ref="Z7:AA8"/>
    <mergeCell ref="T9:V9"/>
    <mergeCell ref="W9:Y9"/>
    <mergeCell ref="Z9:AA9"/>
    <mergeCell ref="S17:V17"/>
    <mergeCell ref="V53:W53"/>
    <mergeCell ref="F1:S3"/>
    <mergeCell ref="H47:I47"/>
    <mergeCell ref="N48:O48"/>
    <mergeCell ref="P15:Q15"/>
    <mergeCell ref="H19:L19"/>
    <mergeCell ref="M17:N17"/>
    <mergeCell ref="P17:Q17"/>
    <mergeCell ref="C42:Q45"/>
    <mergeCell ref="C34:Q40"/>
    <mergeCell ref="C17:F17"/>
    <mergeCell ref="P6:S6"/>
    <mergeCell ref="F6:I6"/>
    <mergeCell ref="C21:Q32"/>
    <mergeCell ref="B10:D11"/>
    <mergeCell ref="R48:S48"/>
    <mergeCell ref="N49:O49"/>
    <mergeCell ref="G54:I54"/>
    <mergeCell ref="N54:R54"/>
    <mergeCell ref="S53:T53"/>
    <mergeCell ref="H50:I50"/>
    <mergeCell ref="N50:O50"/>
    <mergeCell ref="G53:I53"/>
    <mergeCell ref="N53:R53"/>
    <mergeCell ref="S54:T54"/>
    <mergeCell ref="V50:W50"/>
    <mergeCell ref="V55:W55"/>
    <mergeCell ref="B9:E9"/>
    <mergeCell ref="Q12:T13"/>
    <mergeCell ref="V36:AA36"/>
    <mergeCell ref="R44:AA45"/>
    <mergeCell ref="N47:O47"/>
    <mergeCell ref="Y40:Z40"/>
    <mergeCell ref="U40:V40"/>
    <mergeCell ref="H15:K15"/>
    <mergeCell ref="B33:B45"/>
    <mergeCell ref="B20:B32"/>
    <mergeCell ref="B12:B15"/>
    <mergeCell ref="B46:B50"/>
    <mergeCell ref="O14:R14"/>
    <mergeCell ref="X48:Y48"/>
  </mergeCells>
  <phoneticPr fontId="0" type="noConversion"/>
  <dataValidations count="12">
    <dataValidation type="decimal" imeMode="disabled" showInputMessage="1" showErrorMessage="1" errorTitle="入力値エラー" error="「設備コストダウン」は上限９９９．９９までの数値項目です" sqref="U40:V40" xr:uid="{00000000-0002-0000-0100-000000000000}">
      <formula1>0</formula1>
      <formula2>999999999.9</formula2>
    </dataValidation>
    <dataValidation type="decimal" imeMode="disabled" showInputMessage="1" showErrorMessage="1" errorTitle="入力値エラー" error="「省エネ」は上限９９９．９９までの数値項目です" sqref="N49:O49" xr:uid="{00000000-0002-0000-0100-000001000000}">
      <formula1>0</formula1>
      <formula2>999999999.9</formula2>
    </dataValidation>
    <dataValidation type="decimal" imeMode="disabled" showInputMessage="1" showErrorMessage="1" errorTitle="入力値エラー" error="「省資源」は上限９９９．９９までの数値項目です" sqref="N47:O48" xr:uid="{00000000-0002-0000-0100-000002000000}">
      <formula1>0</formula1>
      <formula2>999999999.9</formula2>
    </dataValidation>
    <dataValidation type="decimal" imeMode="disabled" showInputMessage="1" showErrorMessage="1" errorTitle="入力値エラー" error="「製品寿命」は上限９９９．９９までの数値項目です" sqref="H50:I50" xr:uid="{00000000-0002-0000-0100-000003000000}">
      <formula1>0</formula1>
      <formula2>999.99</formula2>
    </dataValidation>
    <dataValidation type="textLength" imeMode="disabled" showInputMessage="1" showErrorMessage="1" errorTitle="入力値エラー" error="「予算整理No」は入力桁数オーバーです" sqref="V18" xr:uid="{00000000-0002-0000-0100-000004000000}">
      <formula1>0</formula1>
      <formula2>12</formula2>
    </dataValidation>
    <dataValidation type="whole" imeMode="disabled" showInputMessage="1" showErrorMessage="1" errorTitle="入力値エラー" error="「内ソフト費」は上限９桁の数字項目です" sqref="Y17:Z17" xr:uid="{00000000-0002-0000-0100-000005000000}">
      <formula1>0</formula1>
      <formula2>999999999</formula2>
    </dataValidation>
    <dataValidation type="whole" imeMode="disabled" showInputMessage="1" showErrorMessage="1" errorTitle="入力値エラー" error="「申請金額」は上限９桁の数字項目です" sqref="H17:K17" xr:uid="{00000000-0002-0000-0100-000006000000}">
      <formula1>0</formula1>
      <formula2>999999999</formula2>
    </dataValidation>
    <dataValidation type="whole" imeMode="disabled" showInputMessage="1" showErrorMessage="1" errorTitle="入力値エラー" error="「予算金額」は上限９桁の数字項目です" sqref="C17:F17" xr:uid="{00000000-0002-0000-0100-000007000000}">
      <formula1>0</formula1>
      <formula2>999999999</formula2>
    </dataValidation>
    <dataValidation type="textLength" imeMode="disabled" showInputMessage="1" showErrorMessage="1" errorTitle="入力値エラー" error="「設置部門No」は入力桁数オーバーです" sqref="P15:Q15" xr:uid="{00000000-0002-0000-0100-000008000000}">
      <formula1>0</formula1>
      <formula2>4</formula2>
    </dataValidation>
    <dataValidation type="whole" imeMode="disabled" showInputMessage="1" showErrorMessage="1" errorTitle="入力値エラー" error="「設置台数」は上限３桁の数字項目です" sqref="D15" xr:uid="{00000000-0002-0000-0100-000009000000}">
      <formula1>0</formula1>
      <formula2>999</formula2>
    </dataValidation>
    <dataValidation type="textLength" allowBlank="1" showInputMessage="1" showErrorMessage="1" errorTitle="入力値エラー" error="「設備名」は入力桁数オーバーです" sqref="E12 G12" xr:uid="{00000000-0002-0000-0100-00000A000000}">
      <formula1>0</formula1>
      <formula2>500</formula2>
    </dataValidation>
    <dataValidation type="textLength" imeMode="hiragana" allowBlank="1" showErrorMessage="1" errorTitle="入力値エラー" error="「希望メーカー」は入力桁数オーバーです" sqref="U34:AA34" xr:uid="{00000000-0002-0000-0100-00000B000000}">
      <formula1>0</formula1>
      <formula2>40</formula2>
    </dataValidation>
  </dataValidations>
  <pageMargins left="0.4" right="0.4" top="0.25" bottom="0.25" header="0" footer="0.31496062992126"/>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207" r:id="rId4" name="Check Box 39">
              <controlPr defaultSize="0" autoFill="0" autoLine="0" autoPict="0">
                <anchor moveWithCells="1">
                  <from>
                    <xdr:col>18</xdr:col>
                    <xdr:colOff>28575</xdr:colOff>
                    <xdr:row>36</xdr:row>
                    <xdr:rowOff>152400</xdr:rowOff>
                  </from>
                  <to>
                    <xdr:col>19</xdr:col>
                    <xdr:colOff>57150</xdr:colOff>
                    <xdr:row>38</xdr:row>
                    <xdr:rowOff>19050</xdr:rowOff>
                  </to>
                </anchor>
              </controlPr>
            </control>
          </mc:Choice>
        </mc:AlternateContent>
        <mc:AlternateContent xmlns:mc="http://schemas.openxmlformats.org/markup-compatibility/2006">
          <mc:Choice Requires="x14">
            <control shapeId="7208" r:id="rId5" name="Check Box 40">
              <controlPr defaultSize="0" autoFill="0" autoLine="0" autoPict="0">
                <anchor moveWithCells="1">
                  <from>
                    <xdr:col>21</xdr:col>
                    <xdr:colOff>28575</xdr:colOff>
                    <xdr:row>36</xdr:row>
                    <xdr:rowOff>152400</xdr:rowOff>
                  </from>
                  <to>
                    <xdr:col>22</xdr:col>
                    <xdr:colOff>28575</xdr:colOff>
                    <xdr:row>38</xdr:row>
                    <xdr:rowOff>19050</xdr:rowOff>
                  </to>
                </anchor>
              </controlPr>
            </control>
          </mc:Choice>
        </mc:AlternateContent>
        <mc:AlternateContent xmlns:mc="http://schemas.openxmlformats.org/markup-compatibility/2006">
          <mc:Choice Requires="x14">
            <control shapeId="7209" r:id="rId6" name="Check Box 41">
              <controlPr defaultSize="0" autoFill="0" autoLine="0" autoPict="0" macro="[0]!チェック21_Click">
                <anchor moveWithCells="1">
                  <from>
                    <xdr:col>2</xdr:col>
                    <xdr:colOff>28575</xdr:colOff>
                    <xdr:row>50</xdr:row>
                    <xdr:rowOff>133350</xdr:rowOff>
                  </from>
                  <to>
                    <xdr:col>3</xdr:col>
                    <xdr:colOff>57150</xdr:colOff>
                    <xdr:row>52</xdr:row>
                    <xdr:rowOff>19050</xdr:rowOff>
                  </to>
                </anchor>
              </controlPr>
            </control>
          </mc:Choice>
        </mc:AlternateContent>
        <mc:AlternateContent xmlns:mc="http://schemas.openxmlformats.org/markup-compatibility/2006">
          <mc:Choice Requires="x14">
            <control shapeId="7210" r:id="rId7" name="Check Box 42">
              <controlPr defaultSize="0" autoFill="0" autoLine="0" autoPict="0" macro="[0]!チェック22_Click">
                <anchor moveWithCells="1">
                  <from>
                    <xdr:col>2</xdr:col>
                    <xdr:colOff>28575</xdr:colOff>
                    <xdr:row>51</xdr:row>
                    <xdr:rowOff>152400</xdr:rowOff>
                  </from>
                  <to>
                    <xdr:col>3</xdr:col>
                    <xdr:colOff>57150</xdr:colOff>
                    <xdr:row>53</xdr:row>
                    <xdr:rowOff>19050</xdr:rowOff>
                  </to>
                </anchor>
              </controlPr>
            </control>
          </mc:Choice>
        </mc:AlternateContent>
        <mc:AlternateContent xmlns:mc="http://schemas.openxmlformats.org/markup-compatibility/2006">
          <mc:Choice Requires="x14">
            <control shapeId="7211" r:id="rId8" name="Check Box 43">
              <controlPr defaultSize="0" autoFill="0" autoLine="0" autoPict="0" macro="[0]!チェック23_Click">
                <anchor moveWithCells="1">
                  <from>
                    <xdr:col>2</xdr:col>
                    <xdr:colOff>28575</xdr:colOff>
                    <xdr:row>52</xdr:row>
                    <xdr:rowOff>152400</xdr:rowOff>
                  </from>
                  <to>
                    <xdr:col>3</xdr:col>
                    <xdr:colOff>57150</xdr:colOff>
                    <xdr:row>54</xdr:row>
                    <xdr:rowOff>19050</xdr:rowOff>
                  </to>
                </anchor>
              </controlPr>
            </control>
          </mc:Choice>
        </mc:AlternateContent>
        <mc:AlternateContent xmlns:mc="http://schemas.openxmlformats.org/markup-compatibility/2006">
          <mc:Choice Requires="x14">
            <control shapeId="7212" r:id="rId9" name="チェック8">
              <controlPr defaultSize="0" autoFill="0" autoLine="0" autoPict="0">
                <anchor moveWithCells="1">
                  <from>
                    <xdr:col>17</xdr:col>
                    <xdr:colOff>38100</xdr:colOff>
                    <xdr:row>17</xdr:row>
                    <xdr:rowOff>0</xdr:rowOff>
                  </from>
                  <to>
                    <xdr:col>18</xdr:col>
                    <xdr:colOff>9525</xdr:colOff>
                    <xdr:row>18</xdr:row>
                    <xdr:rowOff>38100</xdr:rowOff>
                  </to>
                </anchor>
              </controlPr>
            </control>
          </mc:Choice>
        </mc:AlternateContent>
        <mc:AlternateContent xmlns:mc="http://schemas.openxmlformats.org/markup-compatibility/2006">
          <mc:Choice Requires="x14">
            <control shapeId="7213" r:id="rId10" name="チェック9">
              <controlPr defaultSize="0" autoFill="0" autoLine="0" autoPict="0">
                <anchor moveWithCells="1">
                  <from>
                    <xdr:col>17</xdr:col>
                    <xdr:colOff>38100</xdr:colOff>
                    <xdr:row>17</xdr:row>
                    <xdr:rowOff>161925</xdr:rowOff>
                  </from>
                  <to>
                    <xdr:col>18</xdr:col>
                    <xdr:colOff>9525</xdr:colOff>
                    <xdr:row>19</xdr:row>
                    <xdr:rowOff>9525</xdr:rowOff>
                  </to>
                </anchor>
              </controlPr>
            </control>
          </mc:Choice>
        </mc:AlternateContent>
        <mc:AlternateContent xmlns:mc="http://schemas.openxmlformats.org/markup-compatibility/2006">
          <mc:Choice Requires="x14">
            <control shapeId="7214" r:id="rId11" name="Check Box 46">
              <controlPr defaultSize="0" autoFill="0" autoLine="0" autoPict="0">
                <anchor moveWithCells="1">
                  <from>
                    <xdr:col>18</xdr:col>
                    <xdr:colOff>19050</xdr:colOff>
                    <xdr:row>41</xdr:row>
                    <xdr:rowOff>0</xdr:rowOff>
                  </from>
                  <to>
                    <xdr:col>19</xdr:col>
                    <xdr:colOff>47625</xdr:colOff>
                    <xdr:row>42</xdr:row>
                    <xdr:rowOff>38100</xdr:rowOff>
                  </to>
                </anchor>
              </controlPr>
            </control>
          </mc:Choice>
        </mc:AlternateContent>
        <mc:AlternateContent xmlns:mc="http://schemas.openxmlformats.org/markup-compatibility/2006">
          <mc:Choice Requires="x14">
            <control shapeId="7215" r:id="rId12" name="Check Box 47">
              <controlPr defaultSize="0" autoFill="0" autoLine="0" autoPict="0">
                <anchor moveWithCells="1">
                  <from>
                    <xdr:col>18</xdr:col>
                    <xdr:colOff>19050</xdr:colOff>
                    <xdr:row>41</xdr:row>
                    <xdr:rowOff>152400</xdr:rowOff>
                  </from>
                  <to>
                    <xdr:col>19</xdr:col>
                    <xdr:colOff>47625</xdr:colOff>
                    <xdr:row>43</xdr:row>
                    <xdr:rowOff>19050</xdr:rowOff>
                  </to>
                </anchor>
              </controlPr>
            </control>
          </mc:Choice>
        </mc:AlternateContent>
        <mc:AlternateContent xmlns:mc="http://schemas.openxmlformats.org/markup-compatibility/2006">
          <mc:Choice Requires="x14">
            <control shapeId="7216" r:id="rId13" name="Check Box 48">
              <controlPr defaultSize="0" autoFill="0" autoLine="0" autoPict="0">
                <anchor moveWithCells="1">
                  <from>
                    <xdr:col>24</xdr:col>
                    <xdr:colOff>28575</xdr:colOff>
                    <xdr:row>41</xdr:row>
                    <xdr:rowOff>152400</xdr:rowOff>
                  </from>
                  <to>
                    <xdr:col>25</xdr:col>
                    <xdr:colOff>57150</xdr:colOff>
                    <xdr:row>43</xdr:row>
                    <xdr:rowOff>19050</xdr:rowOff>
                  </to>
                </anchor>
              </controlPr>
            </control>
          </mc:Choice>
        </mc:AlternateContent>
        <mc:AlternateContent xmlns:mc="http://schemas.openxmlformats.org/markup-compatibility/2006">
          <mc:Choice Requires="x14">
            <control shapeId="7217" r:id="rId14" name="Check Box 49">
              <controlPr defaultSize="0" autoFill="0" autoLine="0" autoPict="0" macro="[0]!チェック25_Click">
                <anchor moveWithCells="1">
                  <from>
                    <xdr:col>10</xdr:col>
                    <xdr:colOff>19050</xdr:colOff>
                    <xdr:row>51</xdr:row>
                    <xdr:rowOff>152400</xdr:rowOff>
                  </from>
                  <to>
                    <xdr:col>11</xdr:col>
                    <xdr:colOff>47625</xdr:colOff>
                    <xdr:row>53</xdr:row>
                    <xdr:rowOff>19050</xdr:rowOff>
                  </to>
                </anchor>
              </controlPr>
            </control>
          </mc:Choice>
        </mc:AlternateContent>
        <mc:AlternateContent xmlns:mc="http://schemas.openxmlformats.org/markup-compatibility/2006">
          <mc:Choice Requires="x14">
            <control shapeId="7218" r:id="rId15" name="Check Box 50">
              <controlPr defaultSize="0" autoFill="0" autoLine="0" autoPict="0" macro="[0]!チェック27_Click">
                <anchor moveWithCells="1">
                  <from>
                    <xdr:col>10</xdr:col>
                    <xdr:colOff>19050</xdr:colOff>
                    <xdr:row>52</xdr:row>
                    <xdr:rowOff>142875</xdr:rowOff>
                  </from>
                  <to>
                    <xdr:col>11</xdr:col>
                    <xdr:colOff>85725</xdr:colOff>
                    <xdr:row>54</xdr:row>
                    <xdr:rowOff>28575</xdr:rowOff>
                  </to>
                </anchor>
              </controlPr>
            </control>
          </mc:Choice>
        </mc:AlternateContent>
        <mc:AlternateContent xmlns:mc="http://schemas.openxmlformats.org/markup-compatibility/2006">
          <mc:Choice Requires="x14">
            <control shapeId="7219" r:id="rId16" name="Check Box 51">
              <controlPr defaultSize="0" autoFill="0" autoLine="0" autoPict="0" macro="[0]!チェック29_Click">
                <anchor moveWithCells="1">
                  <from>
                    <xdr:col>10</xdr:col>
                    <xdr:colOff>19050</xdr:colOff>
                    <xdr:row>53</xdr:row>
                    <xdr:rowOff>152400</xdr:rowOff>
                  </from>
                  <to>
                    <xdr:col>11</xdr:col>
                    <xdr:colOff>38100</xdr:colOff>
                    <xdr:row>55</xdr:row>
                    <xdr:rowOff>19050</xdr:rowOff>
                  </to>
                </anchor>
              </controlPr>
            </control>
          </mc:Choice>
        </mc:AlternateContent>
        <mc:AlternateContent xmlns:mc="http://schemas.openxmlformats.org/markup-compatibility/2006">
          <mc:Choice Requires="x14">
            <control shapeId="7220" r:id="rId17" name="Check Box 52">
              <controlPr defaultSize="0" autoFill="0" autoLine="0" autoPict="0" macro="[0]!チェック28_Click">
                <anchor moveWithCells="1">
                  <from>
                    <xdr:col>10</xdr:col>
                    <xdr:colOff>28575</xdr:colOff>
                    <xdr:row>54</xdr:row>
                    <xdr:rowOff>152400</xdr:rowOff>
                  </from>
                  <to>
                    <xdr:col>11</xdr:col>
                    <xdr:colOff>85725</xdr:colOff>
                    <xdr:row>56</xdr:row>
                    <xdr:rowOff>19050</xdr:rowOff>
                  </to>
                </anchor>
              </controlPr>
            </control>
          </mc:Choice>
        </mc:AlternateContent>
        <mc:AlternateContent xmlns:mc="http://schemas.openxmlformats.org/markup-compatibility/2006">
          <mc:Choice Requires="x14">
            <control shapeId="3" r:id="rId18" name="チェック8">
              <controlPr defaultSize="0" autoFill="0" autoLine="0" autoPict="0">
                <anchor moveWithCells="1">
                  <from>
                    <xdr:col>23</xdr:col>
                    <xdr:colOff>47625</xdr:colOff>
                    <xdr:row>14</xdr:row>
                    <xdr:rowOff>104775</xdr:rowOff>
                  </from>
                  <to>
                    <xdr:col>24</xdr:col>
                    <xdr:colOff>76200</xdr:colOff>
                    <xdr:row>16</xdr:row>
                    <xdr:rowOff>38100</xdr:rowOff>
                  </to>
                </anchor>
              </controlPr>
            </control>
          </mc:Choice>
        </mc:AlternateContent>
        <mc:AlternateContent xmlns:mc="http://schemas.openxmlformats.org/markup-compatibility/2006">
          <mc:Choice Requires="x14">
            <control shapeId="4" r:id="rId19" name="チェック9">
              <controlPr defaultSize="0" autoFill="0" autoLine="0" autoPict="0">
                <anchor moveWithCells="1">
                  <from>
                    <xdr:col>25</xdr:col>
                    <xdr:colOff>266700</xdr:colOff>
                    <xdr:row>14</xdr:row>
                    <xdr:rowOff>66675</xdr:rowOff>
                  </from>
                  <to>
                    <xdr:col>26</xdr:col>
                    <xdr:colOff>304800</xdr:colOff>
                    <xdr:row>16</xdr:row>
                    <xdr:rowOff>104775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52"/>
  <sheetViews>
    <sheetView zoomScale="85" zoomScaleNormal="85" workbookViewId="0">
      <selection activeCell="B22" sqref="B22"/>
    </sheetView>
  </sheetViews>
  <sheetFormatPr defaultRowHeight="12.75"/>
  <cols>
    <col min="1" max="1" width="5.125" style="87" customWidth="1"/>
    <col min="2" max="2" width="11.75" style="87" customWidth="1"/>
    <col min="3" max="3" width="42" style="87" customWidth="1"/>
    <col min="4" max="10" width="11" style="87" customWidth="1"/>
    <col min="11" max="11" width="5.125" style="87" customWidth="1"/>
    <col min="12" max="12" width="4.375" style="87" customWidth="1"/>
    <col min="13" max="13" width="11" style="87" customWidth="1"/>
    <col min="14" max="18" width="0" style="87" hidden="1" customWidth="1"/>
    <col min="19" max="20" width="9" style="87"/>
    <col min="21" max="21" width="18.125" style="87" bestFit="1" customWidth="1"/>
    <col min="22" max="16384" width="9" style="87"/>
  </cols>
  <sheetData>
    <row r="1" spans="1:12" ht="25.5" customHeight="1">
      <c r="A1" s="105" t="s">
        <v>106</v>
      </c>
      <c r="B1" s="103"/>
      <c r="I1" s="105" t="s">
        <v>182</v>
      </c>
      <c r="J1" s="138"/>
      <c r="L1" s="95"/>
    </row>
    <row r="2" spans="1:12" ht="25.5" customHeight="1">
      <c r="A2" s="103"/>
      <c r="B2" s="430" t="s">
        <v>369</v>
      </c>
      <c r="C2" s="431"/>
      <c r="D2" s="431"/>
      <c r="E2" s="431"/>
      <c r="F2" s="431"/>
      <c r="G2" s="431"/>
      <c r="H2" s="431"/>
      <c r="I2" s="431"/>
      <c r="J2" s="432"/>
      <c r="L2" s="95"/>
    </row>
    <row r="3" spans="1:12" ht="25.5" customHeight="1">
      <c r="A3" s="103"/>
      <c r="B3" s="433"/>
      <c r="C3" s="434"/>
      <c r="D3" s="434"/>
      <c r="E3" s="434"/>
      <c r="F3" s="434"/>
      <c r="G3" s="434"/>
      <c r="H3" s="434"/>
      <c r="I3" s="434"/>
      <c r="J3" s="435"/>
      <c r="K3" s="104"/>
      <c r="L3" s="95"/>
    </row>
    <row r="4" spans="1:12">
      <c r="L4" s="95"/>
    </row>
    <row r="5" spans="1:12" ht="25.5">
      <c r="A5" s="94" t="s">
        <v>121</v>
      </c>
      <c r="L5" s="95"/>
    </row>
    <row r="6" spans="1:12">
      <c r="L6" s="95"/>
    </row>
    <row r="7" spans="1:12">
      <c r="B7" s="428"/>
      <c r="C7" s="428"/>
      <c r="D7" s="428"/>
      <c r="E7" s="428"/>
      <c r="F7" s="428"/>
      <c r="G7" s="428"/>
      <c r="H7" s="428"/>
      <c r="I7" s="428"/>
      <c r="J7" s="88"/>
      <c r="L7" s="95"/>
    </row>
    <row r="8" spans="1:12">
      <c r="B8" s="428"/>
      <c r="C8" s="428"/>
      <c r="D8" s="428"/>
      <c r="E8" s="428"/>
      <c r="F8" s="428"/>
      <c r="G8" s="428"/>
      <c r="H8" s="428"/>
      <c r="I8" s="428"/>
      <c r="J8" s="88"/>
      <c r="L8" s="95"/>
    </row>
    <row r="9" spans="1:12">
      <c r="B9" s="429" t="s">
        <v>107</v>
      </c>
      <c r="C9" s="428"/>
      <c r="D9" s="428"/>
      <c r="E9" s="428"/>
      <c r="F9" s="428"/>
      <c r="G9" s="428"/>
      <c r="H9" s="428"/>
      <c r="I9" s="428"/>
      <c r="J9" s="88"/>
      <c r="L9" s="95"/>
    </row>
    <row r="10" spans="1:12">
      <c r="L10" s="95"/>
    </row>
    <row r="11" spans="1:12">
      <c r="L11" s="95"/>
    </row>
    <row r="12" spans="1:12">
      <c r="L12" s="95"/>
    </row>
    <row r="13" spans="1:12">
      <c r="L13" s="95"/>
    </row>
    <row r="14" spans="1:12">
      <c r="L14" s="95"/>
    </row>
    <row r="15" spans="1:12">
      <c r="L15" s="95"/>
    </row>
    <row r="16" spans="1:12">
      <c r="L16" s="95"/>
    </row>
    <row r="17" spans="1:24">
      <c r="L17" s="95"/>
    </row>
    <row r="18" spans="1:24">
      <c r="L18" s="95"/>
    </row>
    <row r="19" spans="1:24">
      <c r="L19" s="95"/>
    </row>
    <row r="20" spans="1:24">
      <c r="L20" s="95"/>
      <c r="O20" s="87" t="s">
        <v>108</v>
      </c>
    </row>
    <row r="21" spans="1:24">
      <c r="L21" s="95"/>
    </row>
    <row r="22" spans="1:24">
      <c r="L22" s="95"/>
    </row>
    <row r="23" spans="1:24">
      <c r="L23" s="95"/>
    </row>
    <row r="24" spans="1:24">
      <c r="L24" s="95"/>
    </row>
    <row r="25" spans="1:24">
      <c r="L25" s="95"/>
    </row>
    <row r="26" spans="1:24">
      <c r="L26" s="95"/>
    </row>
    <row r="27" spans="1:24">
      <c r="L27" s="95"/>
    </row>
    <row r="28" spans="1:24" ht="18">
      <c r="A28" s="89" t="s">
        <v>120</v>
      </c>
      <c r="I28" s="93"/>
      <c r="J28" s="93" t="s">
        <v>109</v>
      </c>
      <c r="L28" s="95"/>
      <c r="N28" s="97" t="s">
        <v>115</v>
      </c>
      <c r="U28" s="97" t="s">
        <v>108</v>
      </c>
    </row>
    <row r="29" spans="1:24" ht="42.75">
      <c r="B29" s="421" t="s">
        <v>159</v>
      </c>
      <c r="C29" s="421" t="s">
        <v>110</v>
      </c>
      <c r="D29" s="423" t="s">
        <v>12</v>
      </c>
      <c r="E29" s="425" t="s">
        <v>111</v>
      </c>
      <c r="F29" s="426"/>
      <c r="G29" s="426"/>
      <c r="H29" s="427"/>
      <c r="I29" s="423" t="s">
        <v>160</v>
      </c>
      <c r="J29" s="419" t="s">
        <v>166</v>
      </c>
      <c r="K29" s="88"/>
      <c r="L29" s="96"/>
      <c r="M29" s="88"/>
      <c r="N29" s="122" t="s">
        <v>12</v>
      </c>
      <c r="O29" s="122" t="s">
        <v>111</v>
      </c>
      <c r="P29" s="137" t="s">
        <v>175</v>
      </c>
      <c r="Q29" s="123" t="s">
        <v>160</v>
      </c>
      <c r="R29" s="124" t="s">
        <v>112</v>
      </c>
      <c r="U29" s="97" t="s">
        <v>174</v>
      </c>
    </row>
    <row r="30" spans="1:24" ht="30">
      <c r="B30" s="422"/>
      <c r="C30" s="422"/>
      <c r="D30" s="424"/>
      <c r="E30" s="306" t="s">
        <v>374</v>
      </c>
      <c r="F30" s="306" t="s">
        <v>373</v>
      </c>
      <c r="G30" s="306" t="s">
        <v>372</v>
      </c>
      <c r="H30" s="306" t="s">
        <v>375</v>
      </c>
      <c r="I30" s="424"/>
      <c r="J30" s="420"/>
      <c r="K30" s="88"/>
      <c r="L30" s="96"/>
      <c r="M30" s="88"/>
      <c r="N30" s="302"/>
      <c r="O30" s="302"/>
      <c r="P30" s="303"/>
      <c r="Q30" s="304"/>
      <c r="R30" s="305"/>
      <c r="U30" s="97"/>
    </row>
    <row r="31" spans="1:24" ht="17.25" customHeight="1">
      <c r="B31" s="314">
        <v>31257002</v>
      </c>
      <c r="C31" s="307" t="s">
        <v>395</v>
      </c>
      <c r="D31" s="308"/>
      <c r="E31" s="308">
        <v>150000</v>
      </c>
      <c r="F31" s="308" t="s">
        <v>376</v>
      </c>
      <c r="G31" s="308" t="s">
        <v>191</v>
      </c>
      <c r="H31" s="308">
        <v>150000</v>
      </c>
      <c r="I31" s="308">
        <f>H31</f>
        <v>150000</v>
      </c>
      <c r="J31" s="90">
        <f>R31</f>
        <v>0</v>
      </c>
      <c r="L31" s="95"/>
      <c r="N31" s="91">
        <f>D31</f>
        <v>0</v>
      </c>
      <c r="O31" s="91">
        <f t="shared" ref="O31:O40" si="0">H31</f>
        <v>150000</v>
      </c>
      <c r="P31" s="138">
        <f>IF(I31&gt;0,0,O31)</f>
        <v>0</v>
      </c>
      <c r="Q31" s="91">
        <f>I31</f>
        <v>150000</v>
      </c>
      <c r="R31" s="91">
        <f>O31-(P31+Q31)</f>
        <v>0</v>
      </c>
      <c r="V31" s="87" t="str">
        <f>D29</f>
        <v>Annual plan</v>
      </c>
      <c r="W31" s="87" t="str">
        <f>E29</f>
        <v>Application
amount</v>
      </c>
      <c r="X31" s="87" t="s">
        <v>113</v>
      </c>
    </row>
    <row r="32" spans="1:24" ht="17.25" customHeight="1">
      <c r="B32" s="314"/>
      <c r="C32" s="307"/>
      <c r="D32" s="308"/>
      <c r="E32" s="308"/>
      <c r="F32" s="308"/>
      <c r="G32" s="308"/>
      <c r="H32" s="308"/>
      <c r="I32" s="308">
        <f t="shared" ref="I32:I33" si="1">H32</f>
        <v>0</v>
      </c>
      <c r="J32" s="90">
        <f t="shared" ref="J32:J40" si="2">R32</f>
        <v>0</v>
      </c>
      <c r="L32" s="95"/>
      <c r="N32" s="134">
        <f>D32</f>
        <v>0</v>
      </c>
      <c r="O32" s="91">
        <f t="shared" si="0"/>
        <v>0</v>
      </c>
      <c r="P32" s="138">
        <f>IF(I32&gt;0,0,O32)</f>
        <v>0</v>
      </c>
      <c r="Q32" s="91">
        <f>I32</f>
        <v>0</v>
      </c>
      <c r="R32" s="91">
        <f>O32-(P32+Q32)</f>
        <v>0</v>
      </c>
      <c r="U32" s="87" t="s">
        <v>116</v>
      </c>
      <c r="V32" s="91">
        <v>300</v>
      </c>
      <c r="W32" s="91">
        <v>150</v>
      </c>
      <c r="X32" s="91">
        <v>150</v>
      </c>
    </row>
    <row r="33" spans="1:24" ht="17.25" customHeight="1">
      <c r="B33" s="314"/>
      <c r="C33" s="307"/>
      <c r="D33" s="308"/>
      <c r="E33" s="308"/>
      <c r="F33" s="308"/>
      <c r="G33" s="308"/>
      <c r="H33" s="308"/>
      <c r="I33" s="308">
        <f t="shared" si="1"/>
        <v>0</v>
      </c>
      <c r="J33" s="90">
        <f t="shared" si="2"/>
        <v>0</v>
      </c>
      <c r="L33" s="95"/>
      <c r="N33" s="91">
        <f t="shared" ref="N33:N40" si="3">D33</f>
        <v>0</v>
      </c>
      <c r="O33" s="91">
        <f t="shared" si="0"/>
        <v>0</v>
      </c>
      <c r="P33" s="138">
        <f t="shared" ref="P33:P40" si="4">IF(I33&gt;0,0,O33)</f>
        <v>0</v>
      </c>
      <c r="Q33" s="91">
        <f t="shared" ref="Q33:Q40" si="5">I33</f>
        <v>0</v>
      </c>
      <c r="R33" s="91">
        <f t="shared" ref="R33:R40" si="6">O33-(P33+Q33)</f>
        <v>0</v>
      </c>
      <c r="U33" s="87" t="s">
        <v>117</v>
      </c>
      <c r="V33" s="87">
        <v>0</v>
      </c>
      <c r="W33" s="87">
        <v>0</v>
      </c>
      <c r="X33" s="91">
        <f>V32-X32</f>
        <v>150</v>
      </c>
    </row>
    <row r="34" spans="1:24" ht="18.75" customHeight="1">
      <c r="B34" s="116"/>
      <c r="C34" s="307"/>
      <c r="D34" s="308"/>
      <c r="E34" s="308"/>
      <c r="F34" s="308"/>
      <c r="G34" s="308"/>
      <c r="H34" s="308"/>
      <c r="I34" s="308"/>
      <c r="J34" s="90">
        <f t="shared" si="2"/>
        <v>0</v>
      </c>
      <c r="L34" s="95"/>
      <c r="N34" s="91">
        <f t="shared" si="3"/>
        <v>0</v>
      </c>
      <c r="O34" s="91">
        <f t="shared" si="0"/>
        <v>0</v>
      </c>
      <c r="P34" s="138">
        <f t="shared" si="4"/>
        <v>0</v>
      </c>
      <c r="Q34" s="91">
        <f t="shared" si="5"/>
        <v>0</v>
      </c>
      <c r="R34" s="91">
        <f t="shared" si="6"/>
        <v>0</v>
      </c>
      <c r="U34" s="87" t="s">
        <v>118</v>
      </c>
      <c r="V34" s="91">
        <v>0</v>
      </c>
      <c r="W34" s="91">
        <v>0</v>
      </c>
      <c r="X34" s="91">
        <v>0</v>
      </c>
    </row>
    <row r="35" spans="1:24" ht="14.25">
      <c r="B35" s="116"/>
      <c r="C35" s="116"/>
      <c r="D35" s="117"/>
      <c r="E35" s="117"/>
      <c r="F35" s="117"/>
      <c r="G35" s="117"/>
      <c r="H35" s="117"/>
      <c r="I35" s="117"/>
      <c r="J35" s="90">
        <f t="shared" si="2"/>
        <v>0</v>
      </c>
      <c r="L35" s="95"/>
      <c r="N35" s="91">
        <f t="shared" si="3"/>
        <v>0</v>
      </c>
      <c r="O35" s="91">
        <f t="shared" si="0"/>
        <v>0</v>
      </c>
      <c r="P35" s="138">
        <f t="shared" si="4"/>
        <v>0</v>
      </c>
      <c r="Q35" s="91">
        <f t="shared" si="5"/>
        <v>0</v>
      </c>
      <c r="R35" s="91">
        <f t="shared" si="6"/>
        <v>0</v>
      </c>
      <c r="U35" s="87" t="s">
        <v>119</v>
      </c>
      <c r="V35" s="87">
        <v>0</v>
      </c>
      <c r="W35" s="87">
        <v>0</v>
      </c>
      <c r="X35" s="91">
        <f>V34-X34</f>
        <v>0</v>
      </c>
    </row>
    <row r="36" spans="1:24" ht="14.25">
      <c r="B36" s="116"/>
      <c r="C36" s="116"/>
      <c r="D36" s="117"/>
      <c r="E36" s="117"/>
      <c r="F36" s="117"/>
      <c r="G36" s="117"/>
      <c r="H36" s="117"/>
      <c r="I36" s="117"/>
      <c r="J36" s="90">
        <f>R36</f>
        <v>0</v>
      </c>
      <c r="L36" s="95"/>
      <c r="N36" s="91">
        <f t="shared" si="3"/>
        <v>0</v>
      </c>
      <c r="O36" s="91">
        <f t="shared" si="0"/>
        <v>0</v>
      </c>
      <c r="P36" s="138">
        <f t="shared" si="4"/>
        <v>0</v>
      </c>
      <c r="Q36" s="91">
        <f t="shared" si="5"/>
        <v>0</v>
      </c>
      <c r="R36" s="91">
        <f t="shared" si="6"/>
        <v>0</v>
      </c>
      <c r="V36" s="91">
        <f>SUM(V32:V35)</f>
        <v>300</v>
      </c>
      <c r="W36" s="91">
        <f>SUM(W32:W35)</f>
        <v>150</v>
      </c>
      <c r="X36" s="91">
        <f>SUM(X32:X35)</f>
        <v>300</v>
      </c>
    </row>
    <row r="37" spans="1:24" ht="14.25">
      <c r="B37" s="116"/>
      <c r="C37" s="116"/>
      <c r="D37" s="117"/>
      <c r="E37" s="117"/>
      <c r="F37" s="117"/>
      <c r="G37" s="117"/>
      <c r="H37" s="117"/>
      <c r="I37" s="117"/>
      <c r="J37" s="90">
        <f t="shared" si="2"/>
        <v>0</v>
      </c>
      <c r="L37" s="95"/>
      <c r="N37" s="91">
        <f t="shared" si="3"/>
        <v>0</v>
      </c>
      <c r="O37" s="91">
        <f t="shared" si="0"/>
        <v>0</v>
      </c>
      <c r="P37" s="138">
        <f t="shared" si="4"/>
        <v>0</v>
      </c>
      <c r="Q37" s="91">
        <f t="shared" si="5"/>
        <v>0</v>
      </c>
      <c r="R37" s="91">
        <f t="shared" si="6"/>
        <v>0</v>
      </c>
    </row>
    <row r="38" spans="1:24" ht="14.25">
      <c r="B38" s="116"/>
      <c r="C38" s="116"/>
      <c r="D38" s="117"/>
      <c r="E38" s="117"/>
      <c r="F38" s="117"/>
      <c r="G38" s="117"/>
      <c r="H38" s="117"/>
      <c r="I38" s="117"/>
      <c r="J38" s="90">
        <f t="shared" si="2"/>
        <v>0</v>
      </c>
      <c r="L38" s="95"/>
      <c r="N38" s="91">
        <f t="shared" si="3"/>
        <v>0</v>
      </c>
      <c r="O38" s="91">
        <f t="shared" si="0"/>
        <v>0</v>
      </c>
      <c r="P38" s="138">
        <f t="shared" si="4"/>
        <v>0</v>
      </c>
      <c r="Q38" s="91">
        <f t="shared" si="5"/>
        <v>0</v>
      </c>
      <c r="R38" s="91">
        <f t="shared" si="6"/>
        <v>0</v>
      </c>
    </row>
    <row r="39" spans="1:24" ht="14.25">
      <c r="B39" s="116"/>
      <c r="C39" s="116"/>
      <c r="D39" s="117"/>
      <c r="E39" s="117"/>
      <c r="F39" s="117"/>
      <c r="G39" s="117"/>
      <c r="H39" s="117"/>
      <c r="I39" s="117"/>
      <c r="J39" s="90">
        <f t="shared" si="2"/>
        <v>0</v>
      </c>
      <c r="L39" s="95"/>
      <c r="N39" s="91">
        <f t="shared" si="3"/>
        <v>0</v>
      </c>
      <c r="O39" s="91">
        <f t="shared" si="0"/>
        <v>0</v>
      </c>
      <c r="P39" s="138">
        <f t="shared" si="4"/>
        <v>0</v>
      </c>
      <c r="Q39" s="91">
        <f t="shared" si="5"/>
        <v>0</v>
      </c>
      <c r="R39" s="91">
        <f t="shared" si="6"/>
        <v>0</v>
      </c>
    </row>
    <row r="40" spans="1:24" ht="15" thickBot="1">
      <c r="B40" s="116"/>
      <c r="C40" s="116"/>
      <c r="D40" s="118"/>
      <c r="E40" s="118"/>
      <c r="F40" s="118"/>
      <c r="G40" s="118"/>
      <c r="H40" s="118"/>
      <c r="I40" s="118"/>
      <c r="J40" s="90">
        <f t="shared" si="2"/>
        <v>0</v>
      </c>
      <c r="L40" s="95"/>
      <c r="N40" s="91">
        <f t="shared" si="3"/>
        <v>0</v>
      </c>
      <c r="O40" s="91">
        <f t="shared" si="0"/>
        <v>0</v>
      </c>
      <c r="P40" s="138">
        <f t="shared" si="4"/>
        <v>0</v>
      </c>
      <c r="Q40" s="91">
        <f t="shared" si="5"/>
        <v>0</v>
      </c>
      <c r="R40" s="91">
        <f t="shared" si="6"/>
        <v>0</v>
      </c>
    </row>
    <row r="41" spans="1:24" ht="16.5" thickBot="1">
      <c r="B41" s="92"/>
      <c r="C41" s="98" t="s">
        <v>114</v>
      </c>
      <c r="D41" s="99">
        <f>SUM(D31:D40)</f>
        <v>0</v>
      </c>
      <c r="E41" s="301"/>
      <c r="F41" s="301"/>
      <c r="G41" s="301"/>
      <c r="H41" s="100">
        <f>SUM(H31:H40)</f>
        <v>150000</v>
      </c>
      <c r="I41" s="101">
        <f>SUM(I31:I40)</f>
        <v>150000</v>
      </c>
      <c r="J41" s="101">
        <f>SUM(J31:J40)</f>
        <v>0</v>
      </c>
      <c r="L41" s="95"/>
      <c r="N41" s="136">
        <f>SUM(N31:N40)</f>
        <v>0</v>
      </c>
      <c r="O41" s="136">
        <f>SUM(O31:O40)</f>
        <v>150000</v>
      </c>
      <c r="P41" s="136">
        <f>SUM(P31:P40)</f>
        <v>0</v>
      </c>
      <c r="Q41" s="136">
        <f>SUM(Q31:Q40)</f>
        <v>150000</v>
      </c>
      <c r="R41" s="136">
        <f>SUM(R31:R40)</f>
        <v>0</v>
      </c>
      <c r="V41" s="87" t="str">
        <f>"CD:"&amp;R41+R50</f>
        <v>CD:0</v>
      </c>
    </row>
    <row r="42" spans="1:24" ht="18">
      <c r="A42" s="89" t="s">
        <v>76</v>
      </c>
      <c r="L42" s="95"/>
    </row>
    <row r="43" spans="1:24" ht="42.75">
      <c r="B43" s="421" t="s">
        <v>159</v>
      </c>
      <c r="C43" s="421" t="s">
        <v>110</v>
      </c>
      <c r="D43" s="423" t="s">
        <v>12</v>
      </c>
      <c r="E43" s="425" t="s">
        <v>111</v>
      </c>
      <c r="F43" s="426"/>
      <c r="G43" s="426"/>
      <c r="H43" s="427"/>
      <c r="I43" s="423" t="s">
        <v>160</v>
      </c>
      <c r="J43" s="419" t="s">
        <v>166</v>
      </c>
      <c r="L43" s="95"/>
      <c r="N43" s="122" t="s">
        <v>12</v>
      </c>
      <c r="O43" s="122" t="s">
        <v>111</v>
      </c>
      <c r="P43" s="137" t="s">
        <v>175</v>
      </c>
      <c r="Q43" s="123" t="s">
        <v>160</v>
      </c>
      <c r="R43" s="124" t="s">
        <v>112</v>
      </c>
    </row>
    <row r="44" spans="1:24" ht="30">
      <c r="B44" s="422"/>
      <c r="C44" s="422"/>
      <c r="D44" s="424"/>
      <c r="E44" s="306" t="s">
        <v>374</v>
      </c>
      <c r="F44" s="306" t="s">
        <v>373</v>
      </c>
      <c r="G44" s="306" t="s">
        <v>372</v>
      </c>
      <c r="H44" s="306" t="s">
        <v>375</v>
      </c>
      <c r="I44" s="424"/>
      <c r="J44" s="420"/>
      <c r="L44" s="95"/>
      <c r="N44" s="302"/>
      <c r="O44" s="302"/>
      <c r="P44" s="303"/>
      <c r="Q44" s="304"/>
      <c r="R44" s="305"/>
    </row>
    <row r="45" spans="1:24" ht="14.25">
      <c r="B45" s="120"/>
      <c r="C45" s="119" t="s">
        <v>161</v>
      </c>
      <c r="D45" s="117"/>
      <c r="E45" s="117"/>
      <c r="F45" s="117"/>
      <c r="G45" s="117"/>
      <c r="H45" s="117"/>
      <c r="I45" s="117"/>
      <c r="J45" s="90">
        <f>R45</f>
        <v>0</v>
      </c>
      <c r="L45" s="95"/>
      <c r="N45" s="91">
        <f>D45</f>
        <v>0</v>
      </c>
      <c r="O45" s="91">
        <f t="shared" ref="O45:O49" si="7">H45</f>
        <v>0</v>
      </c>
      <c r="P45" s="138">
        <f>IF(I45&gt;0,0,O45)</f>
        <v>0</v>
      </c>
      <c r="Q45" s="91">
        <f>I45</f>
        <v>0</v>
      </c>
      <c r="R45" s="91">
        <f>O45-(P45+Q45)</f>
        <v>0</v>
      </c>
    </row>
    <row r="46" spans="1:24" ht="14.25">
      <c r="B46" s="120"/>
      <c r="C46" s="119" t="s">
        <v>162</v>
      </c>
      <c r="D46" s="117"/>
      <c r="E46" s="117"/>
      <c r="F46" s="117"/>
      <c r="G46" s="117"/>
      <c r="H46" s="117"/>
      <c r="I46" s="117"/>
      <c r="J46" s="90">
        <f>R46</f>
        <v>0</v>
      </c>
      <c r="L46" s="95"/>
      <c r="N46" s="91">
        <f>D46</f>
        <v>0</v>
      </c>
      <c r="O46" s="91">
        <f t="shared" si="7"/>
        <v>0</v>
      </c>
      <c r="P46" s="138">
        <f>IF(I46&gt;0,0,O46)</f>
        <v>0</v>
      </c>
      <c r="Q46" s="91">
        <f>I46</f>
        <v>0</v>
      </c>
      <c r="R46" s="91">
        <f>O46-(P46+Q46)</f>
        <v>0</v>
      </c>
    </row>
    <row r="47" spans="1:24" ht="14.25">
      <c r="B47" s="120"/>
      <c r="C47" s="119" t="s">
        <v>163</v>
      </c>
      <c r="D47" s="117"/>
      <c r="E47" s="117"/>
      <c r="F47" s="117"/>
      <c r="G47" s="117"/>
      <c r="H47" s="117"/>
      <c r="I47" s="117"/>
      <c r="J47" s="90">
        <f>R47</f>
        <v>0</v>
      </c>
      <c r="L47" s="95"/>
      <c r="N47" s="91">
        <f>D47</f>
        <v>0</v>
      </c>
      <c r="O47" s="91">
        <f t="shared" si="7"/>
        <v>0</v>
      </c>
      <c r="P47" s="138">
        <f>IF(I47&gt;0,0,O47)</f>
        <v>0</v>
      </c>
      <c r="Q47" s="91">
        <f>I47</f>
        <v>0</v>
      </c>
      <c r="R47" s="91">
        <f>O47-(P47+Q47)</f>
        <v>0</v>
      </c>
    </row>
    <row r="48" spans="1:24" ht="14.25">
      <c r="B48" s="120"/>
      <c r="C48" s="119" t="s">
        <v>164</v>
      </c>
      <c r="D48" s="117"/>
      <c r="E48" s="117"/>
      <c r="F48" s="117"/>
      <c r="G48" s="117"/>
      <c r="H48" s="117"/>
      <c r="I48" s="117"/>
      <c r="J48" s="90">
        <f>R48</f>
        <v>0</v>
      </c>
      <c r="L48" s="95"/>
      <c r="N48" s="91">
        <f>D48</f>
        <v>0</v>
      </c>
      <c r="O48" s="91">
        <f t="shared" si="7"/>
        <v>0</v>
      </c>
      <c r="P48" s="138">
        <f>IF(I48&gt;0,0,O48)</f>
        <v>0</v>
      </c>
      <c r="Q48" s="91">
        <f>I48</f>
        <v>0</v>
      </c>
      <c r="R48" s="91">
        <f>O48-(P48+Q48)</f>
        <v>0</v>
      </c>
    </row>
    <row r="49" spans="1:18" ht="15" thickBot="1">
      <c r="B49" s="121"/>
      <c r="C49" s="119" t="s">
        <v>165</v>
      </c>
      <c r="D49" s="117"/>
      <c r="E49" s="117"/>
      <c r="F49" s="117"/>
      <c r="G49" s="117"/>
      <c r="H49" s="117"/>
      <c r="I49" s="117"/>
      <c r="J49" s="90">
        <f>R49</f>
        <v>0</v>
      </c>
      <c r="L49" s="95"/>
      <c r="N49" s="91">
        <f>D49</f>
        <v>0</v>
      </c>
      <c r="O49" s="91">
        <f t="shared" si="7"/>
        <v>0</v>
      </c>
      <c r="P49" s="138">
        <f>IF(I49&gt;0,0,O49)</f>
        <v>0</v>
      </c>
      <c r="Q49" s="91">
        <f>I49</f>
        <v>0</v>
      </c>
      <c r="R49" s="91">
        <f>O49-(P49+Q49)</f>
        <v>0</v>
      </c>
    </row>
    <row r="50" spans="1:18" ht="16.5" thickBot="1">
      <c r="B50" s="92"/>
      <c r="C50" s="98" t="s">
        <v>114</v>
      </c>
      <c r="D50" s="99">
        <f>SUM(D45:D49)</f>
        <v>0</v>
      </c>
      <c r="E50" s="301"/>
      <c r="F50" s="301"/>
      <c r="G50" s="301"/>
      <c r="H50" s="100">
        <f>SUM(H45:H49)</f>
        <v>0</v>
      </c>
      <c r="I50" s="101">
        <f>SUM(I45:I49)</f>
        <v>0</v>
      </c>
      <c r="J50" s="101">
        <f>SUM(J45:J49)</f>
        <v>0</v>
      </c>
      <c r="L50" s="95"/>
      <c r="N50" s="136">
        <f>SUM(N45:N49)</f>
        <v>0</v>
      </c>
      <c r="O50" s="136">
        <f>SUM(O45:O49)</f>
        <v>0</v>
      </c>
      <c r="P50" s="136">
        <f>SUM(P45:P49)</f>
        <v>0</v>
      </c>
      <c r="Q50" s="136">
        <f>SUM(Q45:Q49)</f>
        <v>0</v>
      </c>
      <c r="R50" s="136">
        <f>SUM(R45:R49)</f>
        <v>0</v>
      </c>
    </row>
    <row r="51" spans="1:18">
      <c r="L51" s="95"/>
    </row>
    <row r="52" spans="1:18">
      <c r="A52" s="95" t="s">
        <v>122</v>
      </c>
      <c r="B52" s="95"/>
      <c r="C52" s="95"/>
      <c r="D52" s="95"/>
      <c r="E52" s="95"/>
      <c r="F52" s="95"/>
      <c r="G52" s="95"/>
      <c r="H52" s="95"/>
      <c r="I52" s="95"/>
      <c r="J52" s="95"/>
      <c r="K52" s="95"/>
      <c r="L52" s="95"/>
    </row>
  </sheetData>
  <mergeCells count="15">
    <mergeCell ref="B7:I8"/>
    <mergeCell ref="B9:I9"/>
    <mergeCell ref="B2:J3"/>
    <mergeCell ref="E29:H29"/>
    <mergeCell ref="C29:C30"/>
    <mergeCell ref="D29:D30"/>
    <mergeCell ref="I29:I30"/>
    <mergeCell ref="J29:J30"/>
    <mergeCell ref="B29:B30"/>
    <mergeCell ref="J43:J44"/>
    <mergeCell ref="B43:B44"/>
    <mergeCell ref="C43:C44"/>
    <mergeCell ref="D43:D44"/>
    <mergeCell ref="E43:H43"/>
    <mergeCell ref="I43:I44"/>
  </mergeCells>
  <phoneticPr fontId="24" type="noConversion"/>
  <pageMargins left="0.7" right="0.7" top="0.75" bottom="0.75" header="0.3" footer="0.3"/>
  <pageSetup paperSize="9" scale="63"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BI89"/>
  <sheetViews>
    <sheetView showGridLines="0" zoomScale="90" workbookViewId="0">
      <selection activeCell="AY27" sqref="AY27"/>
    </sheetView>
  </sheetViews>
  <sheetFormatPr defaultColWidth="2.625" defaultRowHeight="13.5"/>
  <cols>
    <col min="1" max="1" width="1.375" style="170" customWidth="1"/>
    <col min="2" max="7" width="2.625" style="170" customWidth="1"/>
    <col min="8" max="9" width="2.875" style="170" customWidth="1"/>
    <col min="10" max="24" width="2.625" style="170" customWidth="1"/>
    <col min="25" max="25" width="3" style="170" customWidth="1"/>
    <col min="26" max="33" width="2.625" style="170" customWidth="1"/>
    <col min="34" max="34" width="7.375" style="170" customWidth="1"/>
    <col min="35" max="37" width="2.625" style="170" customWidth="1"/>
    <col min="38" max="38" width="1.625" style="170" customWidth="1"/>
    <col min="39" max="49" width="2.625" style="170" customWidth="1"/>
    <col min="50" max="50" width="19" style="170" customWidth="1"/>
    <col min="51" max="54" width="2.625" style="170" customWidth="1"/>
    <col min="55" max="61" width="2.625" style="170" hidden="1" customWidth="1"/>
    <col min="62" max="256" width="2.625" style="170"/>
    <col min="257" max="257" width="1.375" style="170" customWidth="1"/>
    <col min="258" max="263" width="2.625" style="170" customWidth="1"/>
    <col min="264" max="265" width="2.875" style="170" customWidth="1"/>
    <col min="266" max="280" width="2.625" style="170" customWidth="1"/>
    <col min="281" max="281" width="3" style="170" customWidth="1"/>
    <col min="282" max="289" width="2.625" style="170" customWidth="1"/>
    <col min="290" max="290" width="7.375" style="170" customWidth="1"/>
    <col min="291" max="293" width="2.625" style="170" customWidth="1"/>
    <col min="294" max="294" width="1.625" style="170" customWidth="1"/>
    <col min="295" max="305" width="2.625" style="170" customWidth="1"/>
    <col min="306" max="306" width="19" style="170" customWidth="1"/>
    <col min="307" max="310" width="2.625" style="170" customWidth="1"/>
    <col min="311" max="317" width="0" style="170" hidden="1" customWidth="1"/>
    <col min="318" max="512" width="2.625" style="170"/>
    <col min="513" max="513" width="1.375" style="170" customWidth="1"/>
    <col min="514" max="519" width="2.625" style="170" customWidth="1"/>
    <col min="520" max="521" width="2.875" style="170" customWidth="1"/>
    <col min="522" max="536" width="2.625" style="170" customWidth="1"/>
    <col min="537" max="537" width="3" style="170" customWidth="1"/>
    <col min="538" max="545" width="2.625" style="170" customWidth="1"/>
    <col min="546" max="546" width="7.375" style="170" customWidth="1"/>
    <col min="547" max="549" width="2.625" style="170" customWidth="1"/>
    <col min="550" max="550" width="1.625" style="170" customWidth="1"/>
    <col min="551" max="561" width="2.625" style="170" customWidth="1"/>
    <col min="562" max="562" width="19" style="170" customWidth="1"/>
    <col min="563" max="566" width="2.625" style="170" customWidth="1"/>
    <col min="567" max="573" width="0" style="170" hidden="1" customWidth="1"/>
    <col min="574" max="768" width="2.625" style="170"/>
    <col min="769" max="769" width="1.375" style="170" customWidth="1"/>
    <col min="770" max="775" width="2.625" style="170" customWidth="1"/>
    <col min="776" max="777" width="2.875" style="170" customWidth="1"/>
    <col min="778" max="792" width="2.625" style="170" customWidth="1"/>
    <col min="793" max="793" width="3" style="170" customWidth="1"/>
    <col min="794" max="801" width="2.625" style="170" customWidth="1"/>
    <col min="802" max="802" width="7.375" style="170" customWidth="1"/>
    <col min="803" max="805" width="2.625" style="170" customWidth="1"/>
    <col min="806" max="806" width="1.625" style="170" customWidth="1"/>
    <col min="807" max="817" width="2.625" style="170" customWidth="1"/>
    <col min="818" max="818" width="19" style="170" customWidth="1"/>
    <col min="819" max="822" width="2.625" style="170" customWidth="1"/>
    <col min="823" max="829" width="0" style="170" hidden="1" customWidth="1"/>
    <col min="830" max="1024" width="2.625" style="170"/>
    <col min="1025" max="1025" width="1.375" style="170" customWidth="1"/>
    <col min="1026" max="1031" width="2.625" style="170" customWidth="1"/>
    <col min="1032" max="1033" width="2.875" style="170" customWidth="1"/>
    <col min="1034" max="1048" width="2.625" style="170" customWidth="1"/>
    <col min="1049" max="1049" width="3" style="170" customWidth="1"/>
    <col min="1050" max="1057" width="2.625" style="170" customWidth="1"/>
    <col min="1058" max="1058" width="7.375" style="170" customWidth="1"/>
    <col min="1059" max="1061" width="2.625" style="170" customWidth="1"/>
    <col min="1062" max="1062" width="1.625" style="170" customWidth="1"/>
    <col min="1063" max="1073" width="2.625" style="170" customWidth="1"/>
    <col min="1074" max="1074" width="19" style="170" customWidth="1"/>
    <col min="1075" max="1078" width="2.625" style="170" customWidth="1"/>
    <col min="1079" max="1085" width="0" style="170" hidden="1" customWidth="1"/>
    <col min="1086" max="1280" width="2.625" style="170"/>
    <col min="1281" max="1281" width="1.375" style="170" customWidth="1"/>
    <col min="1282" max="1287" width="2.625" style="170" customWidth="1"/>
    <col min="1288" max="1289" width="2.875" style="170" customWidth="1"/>
    <col min="1290" max="1304" width="2.625" style="170" customWidth="1"/>
    <col min="1305" max="1305" width="3" style="170" customWidth="1"/>
    <col min="1306" max="1313" width="2.625" style="170" customWidth="1"/>
    <col min="1314" max="1314" width="7.375" style="170" customWidth="1"/>
    <col min="1315" max="1317" width="2.625" style="170" customWidth="1"/>
    <col min="1318" max="1318" width="1.625" style="170" customWidth="1"/>
    <col min="1319" max="1329" width="2.625" style="170" customWidth="1"/>
    <col min="1330" max="1330" width="19" style="170" customWidth="1"/>
    <col min="1331" max="1334" width="2.625" style="170" customWidth="1"/>
    <col min="1335" max="1341" width="0" style="170" hidden="1" customWidth="1"/>
    <col min="1342" max="1536" width="2.625" style="170"/>
    <col min="1537" max="1537" width="1.375" style="170" customWidth="1"/>
    <col min="1538" max="1543" width="2.625" style="170" customWidth="1"/>
    <col min="1544" max="1545" width="2.875" style="170" customWidth="1"/>
    <col min="1546" max="1560" width="2.625" style="170" customWidth="1"/>
    <col min="1561" max="1561" width="3" style="170" customWidth="1"/>
    <col min="1562" max="1569" width="2.625" style="170" customWidth="1"/>
    <col min="1570" max="1570" width="7.375" style="170" customWidth="1"/>
    <col min="1571" max="1573" width="2.625" style="170" customWidth="1"/>
    <col min="1574" max="1574" width="1.625" style="170" customWidth="1"/>
    <col min="1575" max="1585" width="2.625" style="170" customWidth="1"/>
    <col min="1586" max="1586" width="19" style="170" customWidth="1"/>
    <col min="1587" max="1590" width="2.625" style="170" customWidth="1"/>
    <col min="1591" max="1597" width="0" style="170" hidden="1" customWidth="1"/>
    <col min="1598" max="1792" width="2.625" style="170"/>
    <col min="1793" max="1793" width="1.375" style="170" customWidth="1"/>
    <col min="1794" max="1799" width="2.625" style="170" customWidth="1"/>
    <col min="1800" max="1801" width="2.875" style="170" customWidth="1"/>
    <col min="1802" max="1816" width="2.625" style="170" customWidth="1"/>
    <col min="1817" max="1817" width="3" style="170" customWidth="1"/>
    <col min="1818" max="1825" width="2.625" style="170" customWidth="1"/>
    <col min="1826" max="1826" width="7.375" style="170" customWidth="1"/>
    <col min="1827" max="1829" width="2.625" style="170" customWidth="1"/>
    <col min="1830" max="1830" width="1.625" style="170" customWidth="1"/>
    <col min="1831" max="1841" width="2.625" style="170" customWidth="1"/>
    <col min="1842" max="1842" width="19" style="170" customWidth="1"/>
    <col min="1843" max="1846" width="2.625" style="170" customWidth="1"/>
    <col min="1847" max="1853" width="0" style="170" hidden="1" customWidth="1"/>
    <col min="1854" max="2048" width="2.625" style="170"/>
    <col min="2049" max="2049" width="1.375" style="170" customWidth="1"/>
    <col min="2050" max="2055" width="2.625" style="170" customWidth="1"/>
    <col min="2056" max="2057" width="2.875" style="170" customWidth="1"/>
    <col min="2058" max="2072" width="2.625" style="170" customWidth="1"/>
    <col min="2073" max="2073" width="3" style="170" customWidth="1"/>
    <col min="2074" max="2081" width="2.625" style="170" customWidth="1"/>
    <col min="2082" max="2082" width="7.375" style="170" customWidth="1"/>
    <col min="2083" max="2085" width="2.625" style="170" customWidth="1"/>
    <col min="2086" max="2086" width="1.625" style="170" customWidth="1"/>
    <col min="2087" max="2097" width="2.625" style="170" customWidth="1"/>
    <col min="2098" max="2098" width="19" style="170" customWidth="1"/>
    <col min="2099" max="2102" width="2.625" style="170" customWidth="1"/>
    <col min="2103" max="2109" width="0" style="170" hidden="1" customWidth="1"/>
    <col min="2110" max="2304" width="2.625" style="170"/>
    <col min="2305" max="2305" width="1.375" style="170" customWidth="1"/>
    <col min="2306" max="2311" width="2.625" style="170" customWidth="1"/>
    <col min="2312" max="2313" width="2.875" style="170" customWidth="1"/>
    <col min="2314" max="2328" width="2.625" style="170" customWidth="1"/>
    <col min="2329" max="2329" width="3" style="170" customWidth="1"/>
    <col min="2330" max="2337" width="2.625" style="170" customWidth="1"/>
    <col min="2338" max="2338" width="7.375" style="170" customWidth="1"/>
    <col min="2339" max="2341" width="2.625" style="170" customWidth="1"/>
    <col min="2342" max="2342" width="1.625" style="170" customWidth="1"/>
    <col min="2343" max="2353" width="2.625" style="170" customWidth="1"/>
    <col min="2354" max="2354" width="19" style="170" customWidth="1"/>
    <col min="2355" max="2358" width="2.625" style="170" customWidth="1"/>
    <col min="2359" max="2365" width="0" style="170" hidden="1" customWidth="1"/>
    <col min="2366" max="2560" width="2.625" style="170"/>
    <col min="2561" max="2561" width="1.375" style="170" customWidth="1"/>
    <col min="2562" max="2567" width="2.625" style="170" customWidth="1"/>
    <col min="2568" max="2569" width="2.875" style="170" customWidth="1"/>
    <col min="2570" max="2584" width="2.625" style="170" customWidth="1"/>
    <col min="2585" max="2585" width="3" style="170" customWidth="1"/>
    <col min="2586" max="2593" width="2.625" style="170" customWidth="1"/>
    <col min="2594" max="2594" width="7.375" style="170" customWidth="1"/>
    <col min="2595" max="2597" width="2.625" style="170" customWidth="1"/>
    <col min="2598" max="2598" width="1.625" style="170" customWidth="1"/>
    <col min="2599" max="2609" width="2.625" style="170" customWidth="1"/>
    <col min="2610" max="2610" width="19" style="170" customWidth="1"/>
    <col min="2611" max="2614" width="2.625" style="170" customWidth="1"/>
    <col min="2615" max="2621" width="0" style="170" hidden="1" customWidth="1"/>
    <col min="2622" max="2816" width="2.625" style="170"/>
    <col min="2817" max="2817" width="1.375" style="170" customWidth="1"/>
    <col min="2818" max="2823" width="2.625" style="170" customWidth="1"/>
    <col min="2824" max="2825" width="2.875" style="170" customWidth="1"/>
    <col min="2826" max="2840" width="2.625" style="170" customWidth="1"/>
    <col min="2841" max="2841" width="3" style="170" customWidth="1"/>
    <col min="2842" max="2849" width="2.625" style="170" customWidth="1"/>
    <col min="2850" max="2850" width="7.375" style="170" customWidth="1"/>
    <col min="2851" max="2853" width="2.625" style="170" customWidth="1"/>
    <col min="2854" max="2854" width="1.625" style="170" customWidth="1"/>
    <col min="2855" max="2865" width="2.625" style="170" customWidth="1"/>
    <col min="2866" max="2866" width="19" style="170" customWidth="1"/>
    <col min="2867" max="2870" width="2.625" style="170" customWidth="1"/>
    <col min="2871" max="2877" width="0" style="170" hidden="1" customWidth="1"/>
    <col min="2878" max="3072" width="2.625" style="170"/>
    <col min="3073" max="3073" width="1.375" style="170" customWidth="1"/>
    <col min="3074" max="3079" width="2.625" style="170" customWidth="1"/>
    <col min="3080" max="3081" width="2.875" style="170" customWidth="1"/>
    <col min="3082" max="3096" width="2.625" style="170" customWidth="1"/>
    <col min="3097" max="3097" width="3" style="170" customWidth="1"/>
    <col min="3098" max="3105" width="2.625" style="170" customWidth="1"/>
    <col min="3106" max="3106" width="7.375" style="170" customWidth="1"/>
    <col min="3107" max="3109" width="2.625" style="170" customWidth="1"/>
    <col min="3110" max="3110" width="1.625" style="170" customWidth="1"/>
    <col min="3111" max="3121" width="2.625" style="170" customWidth="1"/>
    <col min="3122" max="3122" width="19" style="170" customWidth="1"/>
    <col min="3123" max="3126" width="2.625" style="170" customWidth="1"/>
    <col min="3127" max="3133" width="0" style="170" hidden="1" customWidth="1"/>
    <col min="3134" max="3328" width="2.625" style="170"/>
    <col min="3329" max="3329" width="1.375" style="170" customWidth="1"/>
    <col min="3330" max="3335" width="2.625" style="170" customWidth="1"/>
    <col min="3336" max="3337" width="2.875" style="170" customWidth="1"/>
    <col min="3338" max="3352" width="2.625" style="170" customWidth="1"/>
    <col min="3353" max="3353" width="3" style="170" customWidth="1"/>
    <col min="3354" max="3361" width="2.625" style="170" customWidth="1"/>
    <col min="3362" max="3362" width="7.375" style="170" customWidth="1"/>
    <col min="3363" max="3365" width="2.625" style="170" customWidth="1"/>
    <col min="3366" max="3366" width="1.625" style="170" customWidth="1"/>
    <col min="3367" max="3377" width="2.625" style="170" customWidth="1"/>
    <col min="3378" max="3378" width="19" style="170" customWidth="1"/>
    <col min="3379" max="3382" width="2.625" style="170" customWidth="1"/>
    <col min="3383" max="3389" width="0" style="170" hidden="1" customWidth="1"/>
    <col min="3390" max="3584" width="2.625" style="170"/>
    <col min="3585" max="3585" width="1.375" style="170" customWidth="1"/>
    <col min="3586" max="3591" width="2.625" style="170" customWidth="1"/>
    <col min="3592" max="3593" width="2.875" style="170" customWidth="1"/>
    <col min="3594" max="3608" width="2.625" style="170" customWidth="1"/>
    <col min="3609" max="3609" width="3" style="170" customWidth="1"/>
    <col min="3610" max="3617" width="2.625" style="170" customWidth="1"/>
    <col min="3618" max="3618" width="7.375" style="170" customWidth="1"/>
    <col min="3619" max="3621" width="2.625" style="170" customWidth="1"/>
    <col min="3622" max="3622" width="1.625" style="170" customWidth="1"/>
    <col min="3623" max="3633" width="2.625" style="170" customWidth="1"/>
    <col min="3634" max="3634" width="19" style="170" customWidth="1"/>
    <col min="3635" max="3638" width="2.625" style="170" customWidth="1"/>
    <col min="3639" max="3645" width="0" style="170" hidden="1" customWidth="1"/>
    <col min="3646" max="3840" width="2.625" style="170"/>
    <col min="3841" max="3841" width="1.375" style="170" customWidth="1"/>
    <col min="3842" max="3847" width="2.625" style="170" customWidth="1"/>
    <col min="3848" max="3849" width="2.875" style="170" customWidth="1"/>
    <col min="3850" max="3864" width="2.625" style="170" customWidth="1"/>
    <col min="3865" max="3865" width="3" style="170" customWidth="1"/>
    <col min="3866" max="3873" width="2.625" style="170" customWidth="1"/>
    <col min="3874" max="3874" width="7.375" style="170" customWidth="1"/>
    <col min="3875" max="3877" width="2.625" style="170" customWidth="1"/>
    <col min="3878" max="3878" width="1.625" style="170" customWidth="1"/>
    <col min="3879" max="3889" width="2.625" style="170" customWidth="1"/>
    <col min="3890" max="3890" width="19" style="170" customWidth="1"/>
    <col min="3891" max="3894" width="2.625" style="170" customWidth="1"/>
    <col min="3895" max="3901" width="0" style="170" hidden="1" customWidth="1"/>
    <col min="3902" max="4096" width="2.625" style="170"/>
    <col min="4097" max="4097" width="1.375" style="170" customWidth="1"/>
    <col min="4098" max="4103" width="2.625" style="170" customWidth="1"/>
    <col min="4104" max="4105" width="2.875" style="170" customWidth="1"/>
    <col min="4106" max="4120" width="2.625" style="170" customWidth="1"/>
    <col min="4121" max="4121" width="3" style="170" customWidth="1"/>
    <col min="4122" max="4129" width="2.625" style="170" customWidth="1"/>
    <col min="4130" max="4130" width="7.375" style="170" customWidth="1"/>
    <col min="4131" max="4133" width="2.625" style="170" customWidth="1"/>
    <col min="4134" max="4134" width="1.625" style="170" customWidth="1"/>
    <col min="4135" max="4145" width="2.625" style="170" customWidth="1"/>
    <col min="4146" max="4146" width="19" style="170" customWidth="1"/>
    <col min="4147" max="4150" width="2.625" style="170" customWidth="1"/>
    <col min="4151" max="4157" width="0" style="170" hidden="1" customWidth="1"/>
    <col min="4158" max="4352" width="2.625" style="170"/>
    <col min="4353" max="4353" width="1.375" style="170" customWidth="1"/>
    <col min="4354" max="4359" width="2.625" style="170" customWidth="1"/>
    <col min="4360" max="4361" width="2.875" style="170" customWidth="1"/>
    <col min="4362" max="4376" width="2.625" style="170" customWidth="1"/>
    <col min="4377" max="4377" width="3" style="170" customWidth="1"/>
    <col min="4378" max="4385" width="2.625" style="170" customWidth="1"/>
    <col min="4386" max="4386" width="7.375" style="170" customWidth="1"/>
    <col min="4387" max="4389" width="2.625" style="170" customWidth="1"/>
    <col min="4390" max="4390" width="1.625" style="170" customWidth="1"/>
    <col min="4391" max="4401" width="2.625" style="170" customWidth="1"/>
    <col min="4402" max="4402" width="19" style="170" customWidth="1"/>
    <col min="4403" max="4406" width="2.625" style="170" customWidth="1"/>
    <col min="4407" max="4413" width="0" style="170" hidden="1" customWidth="1"/>
    <col min="4414" max="4608" width="2.625" style="170"/>
    <col min="4609" max="4609" width="1.375" style="170" customWidth="1"/>
    <col min="4610" max="4615" width="2.625" style="170" customWidth="1"/>
    <col min="4616" max="4617" width="2.875" style="170" customWidth="1"/>
    <col min="4618" max="4632" width="2.625" style="170" customWidth="1"/>
    <col min="4633" max="4633" width="3" style="170" customWidth="1"/>
    <col min="4634" max="4641" width="2.625" style="170" customWidth="1"/>
    <col min="4642" max="4642" width="7.375" style="170" customWidth="1"/>
    <col min="4643" max="4645" width="2.625" style="170" customWidth="1"/>
    <col min="4646" max="4646" width="1.625" style="170" customWidth="1"/>
    <col min="4647" max="4657" width="2.625" style="170" customWidth="1"/>
    <col min="4658" max="4658" width="19" style="170" customWidth="1"/>
    <col min="4659" max="4662" width="2.625" style="170" customWidth="1"/>
    <col min="4663" max="4669" width="0" style="170" hidden="1" customWidth="1"/>
    <col min="4670" max="4864" width="2.625" style="170"/>
    <col min="4865" max="4865" width="1.375" style="170" customWidth="1"/>
    <col min="4866" max="4871" width="2.625" style="170" customWidth="1"/>
    <col min="4872" max="4873" width="2.875" style="170" customWidth="1"/>
    <col min="4874" max="4888" width="2.625" style="170" customWidth="1"/>
    <col min="4889" max="4889" width="3" style="170" customWidth="1"/>
    <col min="4890" max="4897" width="2.625" style="170" customWidth="1"/>
    <col min="4898" max="4898" width="7.375" style="170" customWidth="1"/>
    <col min="4899" max="4901" width="2.625" style="170" customWidth="1"/>
    <col min="4902" max="4902" width="1.625" style="170" customWidth="1"/>
    <col min="4903" max="4913" width="2.625" style="170" customWidth="1"/>
    <col min="4914" max="4914" width="19" style="170" customWidth="1"/>
    <col min="4915" max="4918" width="2.625" style="170" customWidth="1"/>
    <col min="4919" max="4925" width="0" style="170" hidden="1" customWidth="1"/>
    <col min="4926" max="5120" width="2.625" style="170"/>
    <col min="5121" max="5121" width="1.375" style="170" customWidth="1"/>
    <col min="5122" max="5127" width="2.625" style="170" customWidth="1"/>
    <col min="5128" max="5129" width="2.875" style="170" customWidth="1"/>
    <col min="5130" max="5144" width="2.625" style="170" customWidth="1"/>
    <col min="5145" max="5145" width="3" style="170" customWidth="1"/>
    <col min="5146" max="5153" width="2.625" style="170" customWidth="1"/>
    <col min="5154" max="5154" width="7.375" style="170" customWidth="1"/>
    <col min="5155" max="5157" width="2.625" style="170" customWidth="1"/>
    <col min="5158" max="5158" width="1.625" style="170" customWidth="1"/>
    <col min="5159" max="5169" width="2.625" style="170" customWidth="1"/>
    <col min="5170" max="5170" width="19" style="170" customWidth="1"/>
    <col min="5171" max="5174" width="2.625" style="170" customWidth="1"/>
    <col min="5175" max="5181" width="0" style="170" hidden="1" customWidth="1"/>
    <col min="5182" max="5376" width="2.625" style="170"/>
    <col min="5377" max="5377" width="1.375" style="170" customWidth="1"/>
    <col min="5378" max="5383" width="2.625" style="170" customWidth="1"/>
    <col min="5384" max="5385" width="2.875" style="170" customWidth="1"/>
    <col min="5386" max="5400" width="2.625" style="170" customWidth="1"/>
    <col min="5401" max="5401" width="3" style="170" customWidth="1"/>
    <col min="5402" max="5409" width="2.625" style="170" customWidth="1"/>
    <col min="5410" max="5410" width="7.375" style="170" customWidth="1"/>
    <col min="5411" max="5413" width="2.625" style="170" customWidth="1"/>
    <col min="5414" max="5414" width="1.625" style="170" customWidth="1"/>
    <col min="5415" max="5425" width="2.625" style="170" customWidth="1"/>
    <col min="5426" max="5426" width="19" style="170" customWidth="1"/>
    <col min="5427" max="5430" width="2.625" style="170" customWidth="1"/>
    <col min="5431" max="5437" width="0" style="170" hidden="1" customWidth="1"/>
    <col min="5438" max="5632" width="2.625" style="170"/>
    <col min="5633" max="5633" width="1.375" style="170" customWidth="1"/>
    <col min="5634" max="5639" width="2.625" style="170" customWidth="1"/>
    <col min="5640" max="5641" width="2.875" style="170" customWidth="1"/>
    <col min="5642" max="5656" width="2.625" style="170" customWidth="1"/>
    <col min="5657" max="5657" width="3" style="170" customWidth="1"/>
    <col min="5658" max="5665" width="2.625" style="170" customWidth="1"/>
    <col min="5666" max="5666" width="7.375" style="170" customWidth="1"/>
    <col min="5667" max="5669" width="2.625" style="170" customWidth="1"/>
    <col min="5670" max="5670" width="1.625" style="170" customWidth="1"/>
    <col min="5671" max="5681" width="2.625" style="170" customWidth="1"/>
    <col min="5682" max="5682" width="19" style="170" customWidth="1"/>
    <col min="5683" max="5686" width="2.625" style="170" customWidth="1"/>
    <col min="5687" max="5693" width="0" style="170" hidden="1" customWidth="1"/>
    <col min="5694" max="5888" width="2.625" style="170"/>
    <col min="5889" max="5889" width="1.375" style="170" customWidth="1"/>
    <col min="5890" max="5895" width="2.625" style="170" customWidth="1"/>
    <col min="5896" max="5897" width="2.875" style="170" customWidth="1"/>
    <col min="5898" max="5912" width="2.625" style="170" customWidth="1"/>
    <col min="5913" max="5913" width="3" style="170" customWidth="1"/>
    <col min="5914" max="5921" width="2.625" style="170" customWidth="1"/>
    <col min="5922" max="5922" width="7.375" style="170" customWidth="1"/>
    <col min="5923" max="5925" width="2.625" style="170" customWidth="1"/>
    <col min="5926" max="5926" width="1.625" style="170" customWidth="1"/>
    <col min="5927" max="5937" width="2.625" style="170" customWidth="1"/>
    <col min="5938" max="5938" width="19" style="170" customWidth="1"/>
    <col min="5939" max="5942" width="2.625" style="170" customWidth="1"/>
    <col min="5943" max="5949" width="0" style="170" hidden="1" customWidth="1"/>
    <col min="5950" max="6144" width="2.625" style="170"/>
    <col min="6145" max="6145" width="1.375" style="170" customWidth="1"/>
    <col min="6146" max="6151" width="2.625" style="170" customWidth="1"/>
    <col min="6152" max="6153" width="2.875" style="170" customWidth="1"/>
    <col min="6154" max="6168" width="2.625" style="170" customWidth="1"/>
    <col min="6169" max="6169" width="3" style="170" customWidth="1"/>
    <col min="6170" max="6177" width="2.625" style="170" customWidth="1"/>
    <col min="6178" max="6178" width="7.375" style="170" customWidth="1"/>
    <col min="6179" max="6181" width="2.625" style="170" customWidth="1"/>
    <col min="6182" max="6182" width="1.625" style="170" customWidth="1"/>
    <col min="6183" max="6193" width="2.625" style="170" customWidth="1"/>
    <col min="6194" max="6194" width="19" style="170" customWidth="1"/>
    <col min="6195" max="6198" width="2.625" style="170" customWidth="1"/>
    <col min="6199" max="6205" width="0" style="170" hidden="1" customWidth="1"/>
    <col min="6206" max="6400" width="2.625" style="170"/>
    <col min="6401" max="6401" width="1.375" style="170" customWidth="1"/>
    <col min="6402" max="6407" width="2.625" style="170" customWidth="1"/>
    <col min="6408" max="6409" width="2.875" style="170" customWidth="1"/>
    <col min="6410" max="6424" width="2.625" style="170" customWidth="1"/>
    <col min="6425" max="6425" width="3" style="170" customWidth="1"/>
    <col min="6426" max="6433" width="2.625" style="170" customWidth="1"/>
    <col min="6434" max="6434" width="7.375" style="170" customWidth="1"/>
    <col min="6435" max="6437" width="2.625" style="170" customWidth="1"/>
    <col min="6438" max="6438" width="1.625" style="170" customWidth="1"/>
    <col min="6439" max="6449" width="2.625" style="170" customWidth="1"/>
    <col min="6450" max="6450" width="19" style="170" customWidth="1"/>
    <col min="6451" max="6454" width="2.625" style="170" customWidth="1"/>
    <col min="6455" max="6461" width="0" style="170" hidden="1" customWidth="1"/>
    <col min="6462" max="6656" width="2.625" style="170"/>
    <col min="6657" max="6657" width="1.375" style="170" customWidth="1"/>
    <col min="6658" max="6663" width="2.625" style="170" customWidth="1"/>
    <col min="6664" max="6665" width="2.875" style="170" customWidth="1"/>
    <col min="6666" max="6680" width="2.625" style="170" customWidth="1"/>
    <col min="6681" max="6681" width="3" style="170" customWidth="1"/>
    <col min="6682" max="6689" width="2.625" style="170" customWidth="1"/>
    <col min="6690" max="6690" width="7.375" style="170" customWidth="1"/>
    <col min="6691" max="6693" width="2.625" style="170" customWidth="1"/>
    <col min="6694" max="6694" width="1.625" style="170" customWidth="1"/>
    <col min="6695" max="6705" width="2.625" style="170" customWidth="1"/>
    <col min="6706" max="6706" width="19" style="170" customWidth="1"/>
    <col min="6707" max="6710" width="2.625" style="170" customWidth="1"/>
    <col min="6711" max="6717" width="0" style="170" hidden="1" customWidth="1"/>
    <col min="6718" max="6912" width="2.625" style="170"/>
    <col min="6913" max="6913" width="1.375" style="170" customWidth="1"/>
    <col min="6914" max="6919" width="2.625" style="170" customWidth="1"/>
    <col min="6920" max="6921" width="2.875" style="170" customWidth="1"/>
    <col min="6922" max="6936" width="2.625" style="170" customWidth="1"/>
    <col min="6937" max="6937" width="3" style="170" customWidth="1"/>
    <col min="6938" max="6945" width="2.625" style="170" customWidth="1"/>
    <col min="6946" max="6946" width="7.375" style="170" customWidth="1"/>
    <col min="6947" max="6949" width="2.625" style="170" customWidth="1"/>
    <col min="6950" max="6950" width="1.625" style="170" customWidth="1"/>
    <col min="6951" max="6961" width="2.625" style="170" customWidth="1"/>
    <col min="6962" max="6962" width="19" style="170" customWidth="1"/>
    <col min="6963" max="6966" width="2.625" style="170" customWidth="1"/>
    <col min="6967" max="6973" width="0" style="170" hidden="1" customWidth="1"/>
    <col min="6974" max="7168" width="2.625" style="170"/>
    <col min="7169" max="7169" width="1.375" style="170" customWidth="1"/>
    <col min="7170" max="7175" width="2.625" style="170" customWidth="1"/>
    <col min="7176" max="7177" width="2.875" style="170" customWidth="1"/>
    <col min="7178" max="7192" width="2.625" style="170" customWidth="1"/>
    <col min="7193" max="7193" width="3" style="170" customWidth="1"/>
    <col min="7194" max="7201" width="2.625" style="170" customWidth="1"/>
    <col min="7202" max="7202" width="7.375" style="170" customWidth="1"/>
    <col min="7203" max="7205" width="2.625" style="170" customWidth="1"/>
    <col min="7206" max="7206" width="1.625" style="170" customWidth="1"/>
    <col min="7207" max="7217" width="2.625" style="170" customWidth="1"/>
    <col min="7218" max="7218" width="19" style="170" customWidth="1"/>
    <col min="7219" max="7222" width="2.625" style="170" customWidth="1"/>
    <col min="7223" max="7229" width="0" style="170" hidden="1" customWidth="1"/>
    <col min="7230" max="7424" width="2.625" style="170"/>
    <col min="7425" max="7425" width="1.375" style="170" customWidth="1"/>
    <col min="7426" max="7431" width="2.625" style="170" customWidth="1"/>
    <col min="7432" max="7433" width="2.875" style="170" customWidth="1"/>
    <col min="7434" max="7448" width="2.625" style="170" customWidth="1"/>
    <col min="7449" max="7449" width="3" style="170" customWidth="1"/>
    <col min="7450" max="7457" width="2.625" style="170" customWidth="1"/>
    <col min="7458" max="7458" width="7.375" style="170" customWidth="1"/>
    <col min="7459" max="7461" width="2.625" style="170" customWidth="1"/>
    <col min="7462" max="7462" width="1.625" style="170" customWidth="1"/>
    <col min="7463" max="7473" width="2.625" style="170" customWidth="1"/>
    <col min="7474" max="7474" width="19" style="170" customWidth="1"/>
    <col min="7475" max="7478" width="2.625" style="170" customWidth="1"/>
    <col min="7479" max="7485" width="0" style="170" hidden="1" customWidth="1"/>
    <col min="7486" max="7680" width="2.625" style="170"/>
    <col min="7681" max="7681" width="1.375" style="170" customWidth="1"/>
    <col min="7682" max="7687" width="2.625" style="170" customWidth="1"/>
    <col min="7688" max="7689" width="2.875" style="170" customWidth="1"/>
    <col min="7690" max="7704" width="2.625" style="170" customWidth="1"/>
    <col min="7705" max="7705" width="3" style="170" customWidth="1"/>
    <col min="7706" max="7713" width="2.625" style="170" customWidth="1"/>
    <col min="7714" max="7714" width="7.375" style="170" customWidth="1"/>
    <col min="7715" max="7717" width="2.625" style="170" customWidth="1"/>
    <col min="7718" max="7718" width="1.625" style="170" customWidth="1"/>
    <col min="7719" max="7729" width="2.625" style="170" customWidth="1"/>
    <col min="7730" max="7730" width="19" style="170" customWidth="1"/>
    <col min="7731" max="7734" width="2.625" style="170" customWidth="1"/>
    <col min="7735" max="7741" width="0" style="170" hidden="1" customWidth="1"/>
    <col min="7742" max="7936" width="2.625" style="170"/>
    <col min="7937" max="7937" width="1.375" style="170" customWidth="1"/>
    <col min="7938" max="7943" width="2.625" style="170" customWidth="1"/>
    <col min="7944" max="7945" width="2.875" style="170" customWidth="1"/>
    <col min="7946" max="7960" width="2.625" style="170" customWidth="1"/>
    <col min="7961" max="7961" width="3" style="170" customWidth="1"/>
    <col min="7962" max="7969" width="2.625" style="170" customWidth="1"/>
    <col min="7970" max="7970" width="7.375" style="170" customWidth="1"/>
    <col min="7971" max="7973" width="2.625" style="170" customWidth="1"/>
    <col min="7974" max="7974" width="1.625" style="170" customWidth="1"/>
    <col min="7975" max="7985" width="2.625" style="170" customWidth="1"/>
    <col min="7986" max="7986" width="19" style="170" customWidth="1"/>
    <col min="7987" max="7990" width="2.625" style="170" customWidth="1"/>
    <col min="7991" max="7997" width="0" style="170" hidden="1" customWidth="1"/>
    <col min="7998" max="8192" width="2.625" style="170"/>
    <col min="8193" max="8193" width="1.375" style="170" customWidth="1"/>
    <col min="8194" max="8199" width="2.625" style="170" customWidth="1"/>
    <col min="8200" max="8201" width="2.875" style="170" customWidth="1"/>
    <col min="8202" max="8216" width="2.625" style="170" customWidth="1"/>
    <col min="8217" max="8217" width="3" style="170" customWidth="1"/>
    <col min="8218" max="8225" width="2.625" style="170" customWidth="1"/>
    <col min="8226" max="8226" width="7.375" style="170" customWidth="1"/>
    <col min="8227" max="8229" width="2.625" style="170" customWidth="1"/>
    <col min="8230" max="8230" width="1.625" style="170" customWidth="1"/>
    <col min="8231" max="8241" width="2.625" style="170" customWidth="1"/>
    <col min="8242" max="8242" width="19" style="170" customWidth="1"/>
    <col min="8243" max="8246" width="2.625" style="170" customWidth="1"/>
    <col min="8247" max="8253" width="0" style="170" hidden="1" customWidth="1"/>
    <col min="8254" max="8448" width="2.625" style="170"/>
    <col min="8449" max="8449" width="1.375" style="170" customWidth="1"/>
    <col min="8450" max="8455" width="2.625" style="170" customWidth="1"/>
    <col min="8456" max="8457" width="2.875" style="170" customWidth="1"/>
    <col min="8458" max="8472" width="2.625" style="170" customWidth="1"/>
    <col min="8473" max="8473" width="3" style="170" customWidth="1"/>
    <col min="8474" max="8481" width="2.625" style="170" customWidth="1"/>
    <col min="8482" max="8482" width="7.375" style="170" customWidth="1"/>
    <col min="8483" max="8485" width="2.625" style="170" customWidth="1"/>
    <col min="8486" max="8486" width="1.625" style="170" customWidth="1"/>
    <col min="8487" max="8497" width="2.625" style="170" customWidth="1"/>
    <col min="8498" max="8498" width="19" style="170" customWidth="1"/>
    <col min="8499" max="8502" width="2.625" style="170" customWidth="1"/>
    <col min="8503" max="8509" width="0" style="170" hidden="1" customWidth="1"/>
    <col min="8510" max="8704" width="2.625" style="170"/>
    <col min="8705" max="8705" width="1.375" style="170" customWidth="1"/>
    <col min="8706" max="8711" width="2.625" style="170" customWidth="1"/>
    <col min="8712" max="8713" width="2.875" style="170" customWidth="1"/>
    <col min="8714" max="8728" width="2.625" style="170" customWidth="1"/>
    <col min="8729" max="8729" width="3" style="170" customWidth="1"/>
    <col min="8730" max="8737" width="2.625" style="170" customWidth="1"/>
    <col min="8738" max="8738" width="7.375" style="170" customWidth="1"/>
    <col min="8739" max="8741" width="2.625" style="170" customWidth="1"/>
    <col min="8742" max="8742" width="1.625" style="170" customWidth="1"/>
    <col min="8743" max="8753" width="2.625" style="170" customWidth="1"/>
    <col min="8754" max="8754" width="19" style="170" customWidth="1"/>
    <col min="8755" max="8758" width="2.625" style="170" customWidth="1"/>
    <col min="8759" max="8765" width="0" style="170" hidden="1" customWidth="1"/>
    <col min="8766" max="8960" width="2.625" style="170"/>
    <col min="8961" max="8961" width="1.375" style="170" customWidth="1"/>
    <col min="8962" max="8967" width="2.625" style="170" customWidth="1"/>
    <col min="8968" max="8969" width="2.875" style="170" customWidth="1"/>
    <col min="8970" max="8984" width="2.625" style="170" customWidth="1"/>
    <col min="8985" max="8985" width="3" style="170" customWidth="1"/>
    <col min="8986" max="8993" width="2.625" style="170" customWidth="1"/>
    <col min="8994" max="8994" width="7.375" style="170" customWidth="1"/>
    <col min="8995" max="8997" width="2.625" style="170" customWidth="1"/>
    <col min="8998" max="8998" width="1.625" style="170" customWidth="1"/>
    <col min="8999" max="9009" width="2.625" style="170" customWidth="1"/>
    <col min="9010" max="9010" width="19" style="170" customWidth="1"/>
    <col min="9011" max="9014" width="2.625" style="170" customWidth="1"/>
    <col min="9015" max="9021" width="0" style="170" hidden="1" customWidth="1"/>
    <col min="9022" max="9216" width="2.625" style="170"/>
    <col min="9217" max="9217" width="1.375" style="170" customWidth="1"/>
    <col min="9218" max="9223" width="2.625" style="170" customWidth="1"/>
    <col min="9224" max="9225" width="2.875" style="170" customWidth="1"/>
    <col min="9226" max="9240" width="2.625" style="170" customWidth="1"/>
    <col min="9241" max="9241" width="3" style="170" customWidth="1"/>
    <col min="9242" max="9249" width="2.625" style="170" customWidth="1"/>
    <col min="9250" max="9250" width="7.375" style="170" customWidth="1"/>
    <col min="9251" max="9253" width="2.625" style="170" customWidth="1"/>
    <col min="9254" max="9254" width="1.625" style="170" customWidth="1"/>
    <col min="9255" max="9265" width="2.625" style="170" customWidth="1"/>
    <col min="9266" max="9266" width="19" style="170" customWidth="1"/>
    <col min="9267" max="9270" width="2.625" style="170" customWidth="1"/>
    <col min="9271" max="9277" width="0" style="170" hidden="1" customWidth="1"/>
    <col min="9278" max="9472" width="2.625" style="170"/>
    <col min="9473" max="9473" width="1.375" style="170" customWidth="1"/>
    <col min="9474" max="9479" width="2.625" style="170" customWidth="1"/>
    <col min="9480" max="9481" width="2.875" style="170" customWidth="1"/>
    <col min="9482" max="9496" width="2.625" style="170" customWidth="1"/>
    <col min="9497" max="9497" width="3" style="170" customWidth="1"/>
    <col min="9498" max="9505" width="2.625" style="170" customWidth="1"/>
    <col min="9506" max="9506" width="7.375" style="170" customWidth="1"/>
    <col min="9507" max="9509" width="2.625" style="170" customWidth="1"/>
    <col min="9510" max="9510" width="1.625" style="170" customWidth="1"/>
    <col min="9511" max="9521" width="2.625" style="170" customWidth="1"/>
    <col min="9522" max="9522" width="19" style="170" customWidth="1"/>
    <col min="9523" max="9526" width="2.625" style="170" customWidth="1"/>
    <col min="9527" max="9533" width="0" style="170" hidden="1" customWidth="1"/>
    <col min="9534" max="9728" width="2.625" style="170"/>
    <col min="9729" max="9729" width="1.375" style="170" customWidth="1"/>
    <col min="9730" max="9735" width="2.625" style="170" customWidth="1"/>
    <col min="9736" max="9737" width="2.875" style="170" customWidth="1"/>
    <col min="9738" max="9752" width="2.625" style="170" customWidth="1"/>
    <col min="9753" max="9753" width="3" style="170" customWidth="1"/>
    <col min="9754" max="9761" width="2.625" style="170" customWidth="1"/>
    <col min="9762" max="9762" width="7.375" style="170" customWidth="1"/>
    <col min="9763" max="9765" width="2.625" style="170" customWidth="1"/>
    <col min="9766" max="9766" width="1.625" style="170" customWidth="1"/>
    <col min="9767" max="9777" width="2.625" style="170" customWidth="1"/>
    <col min="9778" max="9778" width="19" style="170" customWidth="1"/>
    <col min="9779" max="9782" width="2.625" style="170" customWidth="1"/>
    <col min="9783" max="9789" width="0" style="170" hidden="1" customWidth="1"/>
    <col min="9790" max="9984" width="2.625" style="170"/>
    <col min="9985" max="9985" width="1.375" style="170" customWidth="1"/>
    <col min="9986" max="9991" width="2.625" style="170" customWidth="1"/>
    <col min="9992" max="9993" width="2.875" style="170" customWidth="1"/>
    <col min="9994" max="10008" width="2.625" style="170" customWidth="1"/>
    <col min="10009" max="10009" width="3" style="170" customWidth="1"/>
    <col min="10010" max="10017" width="2.625" style="170" customWidth="1"/>
    <col min="10018" max="10018" width="7.375" style="170" customWidth="1"/>
    <col min="10019" max="10021" width="2.625" style="170" customWidth="1"/>
    <col min="10022" max="10022" width="1.625" style="170" customWidth="1"/>
    <col min="10023" max="10033" width="2.625" style="170" customWidth="1"/>
    <col min="10034" max="10034" width="19" style="170" customWidth="1"/>
    <col min="10035" max="10038" width="2.625" style="170" customWidth="1"/>
    <col min="10039" max="10045" width="0" style="170" hidden="1" customWidth="1"/>
    <col min="10046" max="10240" width="2.625" style="170"/>
    <col min="10241" max="10241" width="1.375" style="170" customWidth="1"/>
    <col min="10242" max="10247" width="2.625" style="170" customWidth="1"/>
    <col min="10248" max="10249" width="2.875" style="170" customWidth="1"/>
    <col min="10250" max="10264" width="2.625" style="170" customWidth="1"/>
    <col min="10265" max="10265" width="3" style="170" customWidth="1"/>
    <col min="10266" max="10273" width="2.625" style="170" customWidth="1"/>
    <col min="10274" max="10274" width="7.375" style="170" customWidth="1"/>
    <col min="10275" max="10277" width="2.625" style="170" customWidth="1"/>
    <col min="10278" max="10278" width="1.625" style="170" customWidth="1"/>
    <col min="10279" max="10289" width="2.625" style="170" customWidth="1"/>
    <col min="10290" max="10290" width="19" style="170" customWidth="1"/>
    <col min="10291" max="10294" width="2.625" style="170" customWidth="1"/>
    <col min="10295" max="10301" width="0" style="170" hidden="1" customWidth="1"/>
    <col min="10302" max="10496" width="2.625" style="170"/>
    <col min="10497" max="10497" width="1.375" style="170" customWidth="1"/>
    <col min="10498" max="10503" width="2.625" style="170" customWidth="1"/>
    <col min="10504" max="10505" width="2.875" style="170" customWidth="1"/>
    <col min="10506" max="10520" width="2.625" style="170" customWidth="1"/>
    <col min="10521" max="10521" width="3" style="170" customWidth="1"/>
    <col min="10522" max="10529" width="2.625" style="170" customWidth="1"/>
    <col min="10530" max="10530" width="7.375" style="170" customWidth="1"/>
    <col min="10531" max="10533" width="2.625" style="170" customWidth="1"/>
    <col min="10534" max="10534" width="1.625" style="170" customWidth="1"/>
    <col min="10535" max="10545" width="2.625" style="170" customWidth="1"/>
    <col min="10546" max="10546" width="19" style="170" customWidth="1"/>
    <col min="10547" max="10550" width="2.625" style="170" customWidth="1"/>
    <col min="10551" max="10557" width="0" style="170" hidden="1" customWidth="1"/>
    <col min="10558" max="10752" width="2.625" style="170"/>
    <col min="10753" max="10753" width="1.375" style="170" customWidth="1"/>
    <col min="10754" max="10759" width="2.625" style="170" customWidth="1"/>
    <col min="10760" max="10761" width="2.875" style="170" customWidth="1"/>
    <col min="10762" max="10776" width="2.625" style="170" customWidth="1"/>
    <col min="10777" max="10777" width="3" style="170" customWidth="1"/>
    <col min="10778" max="10785" width="2.625" style="170" customWidth="1"/>
    <col min="10786" max="10786" width="7.375" style="170" customWidth="1"/>
    <col min="10787" max="10789" width="2.625" style="170" customWidth="1"/>
    <col min="10790" max="10790" width="1.625" style="170" customWidth="1"/>
    <col min="10791" max="10801" width="2.625" style="170" customWidth="1"/>
    <col min="10802" max="10802" width="19" style="170" customWidth="1"/>
    <col min="10803" max="10806" width="2.625" style="170" customWidth="1"/>
    <col min="10807" max="10813" width="0" style="170" hidden="1" customWidth="1"/>
    <col min="10814" max="11008" width="2.625" style="170"/>
    <col min="11009" max="11009" width="1.375" style="170" customWidth="1"/>
    <col min="11010" max="11015" width="2.625" style="170" customWidth="1"/>
    <col min="11016" max="11017" width="2.875" style="170" customWidth="1"/>
    <col min="11018" max="11032" width="2.625" style="170" customWidth="1"/>
    <col min="11033" max="11033" width="3" style="170" customWidth="1"/>
    <col min="11034" max="11041" width="2.625" style="170" customWidth="1"/>
    <col min="11042" max="11042" width="7.375" style="170" customWidth="1"/>
    <col min="11043" max="11045" width="2.625" style="170" customWidth="1"/>
    <col min="11046" max="11046" width="1.625" style="170" customWidth="1"/>
    <col min="11047" max="11057" width="2.625" style="170" customWidth="1"/>
    <col min="11058" max="11058" width="19" style="170" customWidth="1"/>
    <col min="11059" max="11062" width="2.625" style="170" customWidth="1"/>
    <col min="11063" max="11069" width="0" style="170" hidden="1" customWidth="1"/>
    <col min="11070" max="11264" width="2.625" style="170"/>
    <col min="11265" max="11265" width="1.375" style="170" customWidth="1"/>
    <col min="11266" max="11271" width="2.625" style="170" customWidth="1"/>
    <col min="11272" max="11273" width="2.875" style="170" customWidth="1"/>
    <col min="11274" max="11288" width="2.625" style="170" customWidth="1"/>
    <col min="11289" max="11289" width="3" style="170" customWidth="1"/>
    <col min="11290" max="11297" width="2.625" style="170" customWidth="1"/>
    <col min="11298" max="11298" width="7.375" style="170" customWidth="1"/>
    <col min="11299" max="11301" width="2.625" style="170" customWidth="1"/>
    <col min="11302" max="11302" width="1.625" style="170" customWidth="1"/>
    <col min="11303" max="11313" width="2.625" style="170" customWidth="1"/>
    <col min="11314" max="11314" width="19" style="170" customWidth="1"/>
    <col min="11315" max="11318" width="2.625" style="170" customWidth="1"/>
    <col min="11319" max="11325" width="0" style="170" hidden="1" customWidth="1"/>
    <col min="11326" max="11520" width="2.625" style="170"/>
    <col min="11521" max="11521" width="1.375" style="170" customWidth="1"/>
    <col min="11522" max="11527" width="2.625" style="170" customWidth="1"/>
    <col min="11528" max="11529" width="2.875" style="170" customWidth="1"/>
    <col min="11530" max="11544" width="2.625" style="170" customWidth="1"/>
    <col min="11545" max="11545" width="3" style="170" customWidth="1"/>
    <col min="11546" max="11553" width="2.625" style="170" customWidth="1"/>
    <col min="11554" max="11554" width="7.375" style="170" customWidth="1"/>
    <col min="11555" max="11557" width="2.625" style="170" customWidth="1"/>
    <col min="11558" max="11558" width="1.625" style="170" customWidth="1"/>
    <col min="11559" max="11569" width="2.625" style="170" customWidth="1"/>
    <col min="11570" max="11570" width="19" style="170" customWidth="1"/>
    <col min="11571" max="11574" width="2.625" style="170" customWidth="1"/>
    <col min="11575" max="11581" width="0" style="170" hidden="1" customWidth="1"/>
    <col min="11582" max="11776" width="2.625" style="170"/>
    <col min="11777" max="11777" width="1.375" style="170" customWidth="1"/>
    <col min="11778" max="11783" width="2.625" style="170" customWidth="1"/>
    <col min="11784" max="11785" width="2.875" style="170" customWidth="1"/>
    <col min="11786" max="11800" width="2.625" style="170" customWidth="1"/>
    <col min="11801" max="11801" width="3" style="170" customWidth="1"/>
    <col min="11802" max="11809" width="2.625" style="170" customWidth="1"/>
    <col min="11810" max="11810" width="7.375" style="170" customWidth="1"/>
    <col min="11811" max="11813" width="2.625" style="170" customWidth="1"/>
    <col min="11814" max="11814" width="1.625" style="170" customWidth="1"/>
    <col min="11815" max="11825" width="2.625" style="170" customWidth="1"/>
    <col min="11826" max="11826" width="19" style="170" customWidth="1"/>
    <col min="11827" max="11830" width="2.625" style="170" customWidth="1"/>
    <col min="11831" max="11837" width="0" style="170" hidden="1" customWidth="1"/>
    <col min="11838" max="12032" width="2.625" style="170"/>
    <col min="12033" max="12033" width="1.375" style="170" customWidth="1"/>
    <col min="12034" max="12039" width="2.625" style="170" customWidth="1"/>
    <col min="12040" max="12041" width="2.875" style="170" customWidth="1"/>
    <col min="12042" max="12056" width="2.625" style="170" customWidth="1"/>
    <col min="12057" max="12057" width="3" style="170" customWidth="1"/>
    <col min="12058" max="12065" width="2.625" style="170" customWidth="1"/>
    <col min="12066" max="12066" width="7.375" style="170" customWidth="1"/>
    <col min="12067" max="12069" width="2.625" style="170" customWidth="1"/>
    <col min="12070" max="12070" width="1.625" style="170" customWidth="1"/>
    <col min="12071" max="12081" width="2.625" style="170" customWidth="1"/>
    <col min="12082" max="12082" width="19" style="170" customWidth="1"/>
    <col min="12083" max="12086" width="2.625" style="170" customWidth="1"/>
    <col min="12087" max="12093" width="0" style="170" hidden="1" customWidth="1"/>
    <col min="12094" max="12288" width="2.625" style="170"/>
    <col min="12289" max="12289" width="1.375" style="170" customWidth="1"/>
    <col min="12290" max="12295" width="2.625" style="170" customWidth="1"/>
    <col min="12296" max="12297" width="2.875" style="170" customWidth="1"/>
    <col min="12298" max="12312" width="2.625" style="170" customWidth="1"/>
    <col min="12313" max="12313" width="3" style="170" customWidth="1"/>
    <col min="12314" max="12321" width="2.625" style="170" customWidth="1"/>
    <col min="12322" max="12322" width="7.375" style="170" customWidth="1"/>
    <col min="12323" max="12325" width="2.625" style="170" customWidth="1"/>
    <col min="12326" max="12326" width="1.625" style="170" customWidth="1"/>
    <col min="12327" max="12337" width="2.625" style="170" customWidth="1"/>
    <col min="12338" max="12338" width="19" style="170" customWidth="1"/>
    <col min="12339" max="12342" width="2.625" style="170" customWidth="1"/>
    <col min="12343" max="12349" width="0" style="170" hidden="1" customWidth="1"/>
    <col min="12350" max="12544" width="2.625" style="170"/>
    <col min="12545" max="12545" width="1.375" style="170" customWidth="1"/>
    <col min="12546" max="12551" width="2.625" style="170" customWidth="1"/>
    <col min="12552" max="12553" width="2.875" style="170" customWidth="1"/>
    <col min="12554" max="12568" width="2.625" style="170" customWidth="1"/>
    <col min="12569" max="12569" width="3" style="170" customWidth="1"/>
    <col min="12570" max="12577" width="2.625" style="170" customWidth="1"/>
    <col min="12578" max="12578" width="7.375" style="170" customWidth="1"/>
    <col min="12579" max="12581" width="2.625" style="170" customWidth="1"/>
    <col min="12582" max="12582" width="1.625" style="170" customWidth="1"/>
    <col min="12583" max="12593" width="2.625" style="170" customWidth="1"/>
    <col min="12594" max="12594" width="19" style="170" customWidth="1"/>
    <col min="12595" max="12598" width="2.625" style="170" customWidth="1"/>
    <col min="12599" max="12605" width="0" style="170" hidden="1" customWidth="1"/>
    <col min="12606" max="12800" width="2.625" style="170"/>
    <col min="12801" max="12801" width="1.375" style="170" customWidth="1"/>
    <col min="12802" max="12807" width="2.625" style="170" customWidth="1"/>
    <col min="12808" max="12809" width="2.875" style="170" customWidth="1"/>
    <col min="12810" max="12824" width="2.625" style="170" customWidth="1"/>
    <col min="12825" max="12825" width="3" style="170" customWidth="1"/>
    <col min="12826" max="12833" width="2.625" style="170" customWidth="1"/>
    <col min="12834" max="12834" width="7.375" style="170" customWidth="1"/>
    <col min="12835" max="12837" width="2.625" style="170" customWidth="1"/>
    <col min="12838" max="12838" width="1.625" style="170" customWidth="1"/>
    <col min="12839" max="12849" width="2.625" style="170" customWidth="1"/>
    <col min="12850" max="12850" width="19" style="170" customWidth="1"/>
    <col min="12851" max="12854" width="2.625" style="170" customWidth="1"/>
    <col min="12855" max="12861" width="0" style="170" hidden="1" customWidth="1"/>
    <col min="12862" max="13056" width="2.625" style="170"/>
    <col min="13057" max="13057" width="1.375" style="170" customWidth="1"/>
    <col min="13058" max="13063" width="2.625" style="170" customWidth="1"/>
    <col min="13064" max="13065" width="2.875" style="170" customWidth="1"/>
    <col min="13066" max="13080" width="2.625" style="170" customWidth="1"/>
    <col min="13081" max="13081" width="3" style="170" customWidth="1"/>
    <col min="13082" max="13089" width="2.625" style="170" customWidth="1"/>
    <col min="13090" max="13090" width="7.375" style="170" customWidth="1"/>
    <col min="13091" max="13093" width="2.625" style="170" customWidth="1"/>
    <col min="13094" max="13094" width="1.625" style="170" customWidth="1"/>
    <col min="13095" max="13105" width="2.625" style="170" customWidth="1"/>
    <col min="13106" max="13106" width="19" style="170" customWidth="1"/>
    <col min="13107" max="13110" width="2.625" style="170" customWidth="1"/>
    <col min="13111" max="13117" width="0" style="170" hidden="1" customWidth="1"/>
    <col min="13118" max="13312" width="2.625" style="170"/>
    <col min="13313" max="13313" width="1.375" style="170" customWidth="1"/>
    <col min="13314" max="13319" width="2.625" style="170" customWidth="1"/>
    <col min="13320" max="13321" width="2.875" style="170" customWidth="1"/>
    <col min="13322" max="13336" width="2.625" style="170" customWidth="1"/>
    <col min="13337" max="13337" width="3" style="170" customWidth="1"/>
    <col min="13338" max="13345" width="2.625" style="170" customWidth="1"/>
    <col min="13346" max="13346" width="7.375" style="170" customWidth="1"/>
    <col min="13347" max="13349" width="2.625" style="170" customWidth="1"/>
    <col min="13350" max="13350" width="1.625" style="170" customWidth="1"/>
    <col min="13351" max="13361" width="2.625" style="170" customWidth="1"/>
    <col min="13362" max="13362" width="19" style="170" customWidth="1"/>
    <col min="13363" max="13366" width="2.625" style="170" customWidth="1"/>
    <col min="13367" max="13373" width="0" style="170" hidden="1" customWidth="1"/>
    <col min="13374" max="13568" width="2.625" style="170"/>
    <col min="13569" max="13569" width="1.375" style="170" customWidth="1"/>
    <col min="13570" max="13575" width="2.625" style="170" customWidth="1"/>
    <col min="13576" max="13577" width="2.875" style="170" customWidth="1"/>
    <col min="13578" max="13592" width="2.625" style="170" customWidth="1"/>
    <col min="13593" max="13593" width="3" style="170" customWidth="1"/>
    <col min="13594" max="13601" width="2.625" style="170" customWidth="1"/>
    <col min="13602" max="13602" width="7.375" style="170" customWidth="1"/>
    <col min="13603" max="13605" width="2.625" style="170" customWidth="1"/>
    <col min="13606" max="13606" width="1.625" style="170" customWidth="1"/>
    <col min="13607" max="13617" width="2.625" style="170" customWidth="1"/>
    <col min="13618" max="13618" width="19" style="170" customWidth="1"/>
    <col min="13619" max="13622" width="2.625" style="170" customWidth="1"/>
    <col min="13623" max="13629" width="0" style="170" hidden="1" customWidth="1"/>
    <col min="13630" max="13824" width="2.625" style="170"/>
    <col min="13825" max="13825" width="1.375" style="170" customWidth="1"/>
    <col min="13826" max="13831" width="2.625" style="170" customWidth="1"/>
    <col min="13832" max="13833" width="2.875" style="170" customWidth="1"/>
    <col min="13834" max="13848" width="2.625" style="170" customWidth="1"/>
    <col min="13849" max="13849" width="3" style="170" customWidth="1"/>
    <col min="13850" max="13857" width="2.625" style="170" customWidth="1"/>
    <col min="13858" max="13858" width="7.375" style="170" customWidth="1"/>
    <col min="13859" max="13861" width="2.625" style="170" customWidth="1"/>
    <col min="13862" max="13862" width="1.625" style="170" customWidth="1"/>
    <col min="13863" max="13873" width="2.625" style="170" customWidth="1"/>
    <col min="13874" max="13874" width="19" style="170" customWidth="1"/>
    <col min="13875" max="13878" width="2.625" style="170" customWidth="1"/>
    <col min="13879" max="13885" width="0" style="170" hidden="1" customWidth="1"/>
    <col min="13886" max="14080" width="2.625" style="170"/>
    <col min="14081" max="14081" width="1.375" style="170" customWidth="1"/>
    <col min="14082" max="14087" width="2.625" style="170" customWidth="1"/>
    <col min="14088" max="14089" width="2.875" style="170" customWidth="1"/>
    <col min="14090" max="14104" width="2.625" style="170" customWidth="1"/>
    <col min="14105" max="14105" width="3" style="170" customWidth="1"/>
    <col min="14106" max="14113" width="2.625" style="170" customWidth="1"/>
    <col min="14114" max="14114" width="7.375" style="170" customWidth="1"/>
    <col min="14115" max="14117" width="2.625" style="170" customWidth="1"/>
    <col min="14118" max="14118" width="1.625" style="170" customWidth="1"/>
    <col min="14119" max="14129" width="2.625" style="170" customWidth="1"/>
    <col min="14130" max="14130" width="19" style="170" customWidth="1"/>
    <col min="14131" max="14134" width="2.625" style="170" customWidth="1"/>
    <col min="14135" max="14141" width="0" style="170" hidden="1" customWidth="1"/>
    <col min="14142" max="14336" width="2.625" style="170"/>
    <col min="14337" max="14337" width="1.375" style="170" customWidth="1"/>
    <col min="14338" max="14343" width="2.625" style="170" customWidth="1"/>
    <col min="14344" max="14345" width="2.875" style="170" customWidth="1"/>
    <col min="14346" max="14360" width="2.625" style="170" customWidth="1"/>
    <col min="14361" max="14361" width="3" style="170" customWidth="1"/>
    <col min="14362" max="14369" width="2.625" style="170" customWidth="1"/>
    <col min="14370" max="14370" width="7.375" style="170" customWidth="1"/>
    <col min="14371" max="14373" width="2.625" style="170" customWidth="1"/>
    <col min="14374" max="14374" width="1.625" style="170" customWidth="1"/>
    <col min="14375" max="14385" width="2.625" style="170" customWidth="1"/>
    <col min="14386" max="14386" width="19" style="170" customWidth="1"/>
    <col min="14387" max="14390" width="2.625" style="170" customWidth="1"/>
    <col min="14391" max="14397" width="0" style="170" hidden="1" customWidth="1"/>
    <col min="14398" max="14592" width="2.625" style="170"/>
    <col min="14593" max="14593" width="1.375" style="170" customWidth="1"/>
    <col min="14594" max="14599" width="2.625" style="170" customWidth="1"/>
    <col min="14600" max="14601" width="2.875" style="170" customWidth="1"/>
    <col min="14602" max="14616" width="2.625" style="170" customWidth="1"/>
    <col min="14617" max="14617" width="3" style="170" customWidth="1"/>
    <col min="14618" max="14625" width="2.625" style="170" customWidth="1"/>
    <col min="14626" max="14626" width="7.375" style="170" customWidth="1"/>
    <col min="14627" max="14629" width="2.625" style="170" customWidth="1"/>
    <col min="14630" max="14630" width="1.625" style="170" customWidth="1"/>
    <col min="14631" max="14641" width="2.625" style="170" customWidth="1"/>
    <col min="14642" max="14642" width="19" style="170" customWidth="1"/>
    <col min="14643" max="14646" width="2.625" style="170" customWidth="1"/>
    <col min="14647" max="14653" width="0" style="170" hidden="1" customWidth="1"/>
    <col min="14654" max="14848" width="2.625" style="170"/>
    <col min="14849" max="14849" width="1.375" style="170" customWidth="1"/>
    <col min="14850" max="14855" width="2.625" style="170" customWidth="1"/>
    <col min="14856" max="14857" width="2.875" style="170" customWidth="1"/>
    <col min="14858" max="14872" width="2.625" style="170" customWidth="1"/>
    <col min="14873" max="14873" width="3" style="170" customWidth="1"/>
    <col min="14874" max="14881" width="2.625" style="170" customWidth="1"/>
    <col min="14882" max="14882" width="7.375" style="170" customWidth="1"/>
    <col min="14883" max="14885" width="2.625" style="170" customWidth="1"/>
    <col min="14886" max="14886" width="1.625" style="170" customWidth="1"/>
    <col min="14887" max="14897" width="2.625" style="170" customWidth="1"/>
    <col min="14898" max="14898" width="19" style="170" customWidth="1"/>
    <col min="14899" max="14902" width="2.625" style="170" customWidth="1"/>
    <col min="14903" max="14909" width="0" style="170" hidden="1" customWidth="1"/>
    <col min="14910" max="15104" width="2.625" style="170"/>
    <col min="15105" max="15105" width="1.375" style="170" customWidth="1"/>
    <col min="15106" max="15111" width="2.625" style="170" customWidth="1"/>
    <col min="15112" max="15113" width="2.875" style="170" customWidth="1"/>
    <col min="15114" max="15128" width="2.625" style="170" customWidth="1"/>
    <col min="15129" max="15129" width="3" style="170" customWidth="1"/>
    <col min="15130" max="15137" width="2.625" style="170" customWidth="1"/>
    <col min="15138" max="15138" width="7.375" style="170" customWidth="1"/>
    <col min="15139" max="15141" width="2.625" style="170" customWidth="1"/>
    <col min="15142" max="15142" width="1.625" style="170" customWidth="1"/>
    <col min="15143" max="15153" width="2.625" style="170" customWidth="1"/>
    <col min="15154" max="15154" width="19" style="170" customWidth="1"/>
    <col min="15155" max="15158" width="2.625" style="170" customWidth="1"/>
    <col min="15159" max="15165" width="0" style="170" hidden="1" customWidth="1"/>
    <col min="15166" max="15360" width="2.625" style="170"/>
    <col min="15361" max="15361" width="1.375" style="170" customWidth="1"/>
    <col min="15362" max="15367" width="2.625" style="170" customWidth="1"/>
    <col min="15368" max="15369" width="2.875" style="170" customWidth="1"/>
    <col min="15370" max="15384" width="2.625" style="170" customWidth="1"/>
    <col min="15385" max="15385" width="3" style="170" customWidth="1"/>
    <col min="15386" max="15393" width="2.625" style="170" customWidth="1"/>
    <col min="15394" max="15394" width="7.375" style="170" customWidth="1"/>
    <col min="15395" max="15397" width="2.625" style="170" customWidth="1"/>
    <col min="15398" max="15398" width="1.625" style="170" customWidth="1"/>
    <col min="15399" max="15409" width="2.625" style="170" customWidth="1"/>
    <col min="15410" max="15410" width="19" style="170" customWidth="1"/>
    <col min="15411" max="15414" width="2.625" style="170" customWidth="1"/>
    <col min="15415" max="15421" width="0" style="170" hidden="1" customWidth="1"/>
    <col min="15422" max="15616" width="2.625" style="170"/>
    <col min="15617" max="15617" width="1.375" style="170" customWidth="1"/>
    <col min="15618" max="15623" width="2.625" style="170" customWidth="1"/>
    <col min="15624" max="15625" width="2.875" style="170" customWidth="1"/>
    <col min="15626" max="15640" width="2.625" style="170" customWidth="1"/>
    <col min="15641" max="15641" width="3" style="170" customWidth="1"/>
    <col min="15642" max="15649" width="2.625" style="170" customWidth="1"/>
    <col min="15650" max="15650" width="7.375" style="170" customWidth="1"/>
    <col min="15651" max="15653" width="2.625" style="170" customWidth="1"/>
    <col min="15654" max="15654" width="1.625" style="170" customWidth="1"/>
    <col min="15655" max="15665" width="2.625" style="170" customWidth="1"/>
    <col min="15666" max="15666" width="19" style="170" customWidth="1"/>
    <col min="15667" max="15670" width="2.625" style="170" customWidth="1"/>
    <col min="15671" max="15677" width="0" style="170" hidden="1" customWidth="1"/>
    <col min="15678" max="15872" width="2.625" style="170"/>
    <col min="15873" max="15873" width="1.375" style="170" customWidth="1"/>
    <col min="15874" max="15879" width="2.625" style="170" customWidth="1"/>
    <col min="15880" max="15881" width="2.875" style="170" customWidth="1"/>
    <col min="15882" max="15896" width="2.625" style="170" customWidth="1"/>
    <col min="15897" max="15897" width="3" style="170" customWidth="1"/>
    <col min="15898" max="15905" width="2.625" style="170" customWidth="1"/>
    <col min="15906" max="15906" width="7.375" style="170" customWidth="1"/>
    <col min="15907" max="15909" width="2.625" style="170" customWidth="1"/>
    <col min="15910" max="15910" width="1.625" style="170" customWidth="1"/>
    <col min="15911" max="15921" width="2.625" style="170" customWidth="1"/>
    <col min="15922" max="15922" width="19" style="170" customWidth="1"/>
    <col min="15923" max="15926" width="2.625" style="170" customWidth="1"/>
    <col min="15927" max="15933" width="0" style="170" hidden="1" customWidth="1"/>
    <col min="15934" max="16128" width="2.625" style="170"/>
    <col min="16129" max="16129" width="1.375" style="170" customWidth="1"/>
    <col min="16130" max="16135" width="2.625" style="170" customWidth="1"/>
    <col min="16136" max="16137" width="2.875" style="170" customWidth="1"/>
    <col min="16138" max="16152" width="2.625" style="170" customWidth="1"/>
    <col min="16153" max="16153" width="3" style="170" customWidth="1"/>
    <col min="16154" max="16161" width="2.625" style="170" customWidth="1"/>
    <col min="16162" max="16162" width="7.375" style="170" customWidth="1"/>
    <col min="16163" max="16165" width="2.625" style="170" customWidth="1"/>
    <col min="16166" max="16166" width="1.625" style="170" customWidth="1"/>
    <col min="16167" max="16177" width="2.625" style="170" customWidth="1"/>
    <col min="16178" max="16178" width="19" style="170" customWidth="1"/>
    <col min="16179" max="16182" width="2.625" style="170" customWidth="1"/>
    <col min="16183" max="16189" width="0" style="170" hidden="1" customWidth="1"/>
    <col min="16190" max="16384" width="2.625" style="170"/>
  </cols>
  <sheetData>
    <row r="2" spans="2:55" ht="14.25" thickBot="1">
      <c r="AH2" s="171"/>
      <c r="AJ2" s="170" t="s">
        <v>254</v>
      </c>
    </row>
    <row r="3" spans="2:55" ht="16.5" customHeight="1">
      <c r="B3" s="523" t="s">
        <v>255</v>
      </c>
      <c r="C3" s="524"/>
      <c r="D3" s="524"/>
      <c r="E3" s="524"/>
      <c r="F3" s="524"/>
      <c r="G3" s="524"/>
      <c r="H3" s="524"/>
      <c r="I3" s="524"/>
      <c r="J3" s="524"/>
      <c r="K3" s="524"/>
      <c r="L3" s="524"/>
      <c r="M3" s="524"/>
      <c r="N3" s="524"/>
      <c r="O3" s="524"/>
      <c r="P3" s="524"/>
      <c r="Q3" s="524"/>
      <c r="R3" s="524"/>
      <c r="S3" s="524"/>
      <c r="T3" s="524"/>
      <c r="U3" s="524"/>
      <c r="V3" s="524"/>
      <c r="W3" s="524"/>
      <c r="X3" s="524"/>
      <c r="Y3" s="524"/>
      <c r="Z3" s="524"/>
      <c r="AA3" s="524"/>
      <c r="AB3" s="524"/>
      <c r="AC3" s="525"/>
      <c r="AD3" s="172"/>
      <c r="AE3" s="173" t="s">
        <v>256</v>
      </c>
      <c r="AF3" s="173"/>
      <c r="AG3" s="172"/>
      <c r="AH3" s="172"/>
      <c r="AI3" s="172"/>
      <c r="AJ3" s="172"/>
      <c r="AK3" s="172" t="s">
        <v>257</v>
      </c>
      <c r="AL3" s="172"/>
      <c r="AM3" s="532"/>
      <c r="AN3" s="532"/>
      <c r="AO3" s="532"/>
      <c r="AP3" s="532"/>
      <c r="AQ3" s="532"/>
      <c r="AR3" s="532"/>
      <c r="AS3" s="172"/>
      <c r="AT3" s="174"/>
    </row>
    <row r="4" spans="2:55" ht="13.5" customHeight="1">
      <c r="B4" s="526"/>
      <c r="C4" s="527"/>
      <c r="D4" s="527"/>
      <c r="E4" s="527"/>
      <c r="F4" s="527"/>
      <c r="G4" s="527"/>
      <c r="H4" s="527"/>
      <c r="I4" s="527"/>
      <c r="J4" s="527"/>
      <c r="K4" s="527"/>
      <c r="L4" s="527"/>
      <c r="M4" s="527"/>
      <c r="N4" s="527"/>
      <c r="O4" s="527"/>
      <c r="P4" s="527"/>
      <c r="Q4" s="527"/>
      <c r="R4" s="527"/>
      <c r="S4" s="527"/>
      <c r="T4" s="527"/>
      <c r="U4" s="527"/>
      <c r="V4" s="527"/>
      <c r="W4" s="527"/>
      <c r="X4" s="527"/>
      <c r="Y4" s="527"/>
      <c r="Z4" s="527"/>
      <c r="AA4" s="527"/>
      <c r="AB4" s="527"/>
      <c r="AC4" s="528"/>
      <c r="AE4" s="175" t="s">
        <v>258</v>
      </c>
      <c r="AF4" s="175"/>
      <c r="AK4" s="170" t="s">
        <v>257</v>
      </c>
      <c r="AM4" s="517"/>
      <c r="AN4" s="517"/>
      <c r="AO4" s="517"/>
      <c r="AP4" s="517"/>
      <c r="AQ4" s="517"/>
      <c r="AR4" s="517"/>
      <c r="AT4" s="176"/>
    </row>
    <row r="5" spans="2:55" ht="13.5" customHeight="1" thickBot="1">
      <c r="B5" s="529"/>
      <c r="C5" s="530"/>
      <c r="D5" s="530"/>
      <c r="E5" s="530"/>
      <c r="F5" s="530"/>
      <c r="G5" s="530"/>
      <c r="H5" s="530"/>
      <c r="I5" s="530"/>
      <c r="J5" s="530"/>
      <c r="K5" s="530"/>
      <c r="L5" s="530"/>
      <c r="M5" s="530"/>
      <c r="N5" s="530"/>
      <c r="O5" s="530"/>
      <c r="P5" s="530"/>
      <c r="Q5" s="530"/>
      <c r="R5" s="530"/>
      <c r="S5" s="530"/>
      <c r="T5" s="530"/>
      <c r="U5" s="530"/>
      <c r="V5" s="530"/>
      <c r="W5" s="530"/>
      <c r="X5" s="530"/>
      <c r="Y5" s="530"/>
      <c r="Z5" s="530"/>
      <c r="AA5" s="530"/>
      <c r="AB5" s="530"/>
      <c r="AC5" s="531"/>
      <c r="AE5" s="175" t="s">
        <v>259</v>
      </c>
      <c r="AF5" s="175"/>
      <c r="AK5" s="170" t="s">
        <v>257</v>
      </c>
      <c r="AM5" s="517"/>
      <c r="AN5" s="517"/>
      <c r="AO5" s="517"/>
      <c r="AP5" s="517"/>
      <c r="AQ5" s="517"/>
      <c r="AR5" s="517"/>
      <c r="AT5" s="176"/>
    </row>
    <row r="6" spans="2:55" ht="13.5" customHeight="1">
      <c r="B6" s="177" t="s">
        <v>260</v>
      </c>
      <c r="C6" s="178"/>
      <c r="D6" s="178"/>
      <c r="E6" s="178"/>
      <c r="F6" s="178"/>
      <c r="G6" s="178"/>
      <c r="H6" s="178"/>
      <c r="I6" s="178"/>
      <c r="J6" s="178"/>
      <c r="K6" s="178"/>
      <c r="L6" s="178"/>
      <c r="M6" s="178"/>
      <c r="N6" s="178"/>
      <c r="O6" s="178"/>
      <c r="P6" s="178"/>
      <c r="Q6" s="178"/>
      <c r="R6" s="178"/>
      <c r="S6" s="178"/>
      <c r="T6" s="178"/>
      <c r="U6" s="178"/>
      <c r="V6" s="178"/>
      <c r="W6" s="178"/>
      <c r="X6" s="178"/>
      <c r="Y6" s="179"/>
      <c r="Z6" s="178"/>
      <c r="AA6" s="178"/>
      <c r="AB6" s="178"/>
      <c r="AE6" s="175" t="s">
        <v>261</v>
      </c>
      <c r="AF6" s="175"/>
      <c r="AK6" s="170" t="s">
        <v>257</v>
      </c>
      <c r="AM6" s="517"/>
      <c r="AN6" s="517"/>
      <c r="AO6" s="517"/>
      <c r="AP6" s="517"/>
      <c r="AQ6" s="517"/>
      <c r="AR6" s="517"/>
      <c r="AT6" s="176"/>
    </row>
    <row r="7" spans="2:55" ht="17.25">
      <c r="B7" s="180" t="s">
        <v>262</v>
      </c>
      <c r="C7" s="181"/>
      <c r="D7" s="181"/>
      <c r="E7" s="181"/>
      <c r="F7" s="181"/>
      <c r="G7" s="181"/>
      <c r="H7" s="181"/>
      <c r="I7" s="181"/>
      <c r="J7" s="181"/>
      <c r="K7" s="181"/>
      <c r="L7" s="181"/>
      <c r="M7" s="181"/>
      <c r="N7" s="181"/>
      <c r="O7" s="181"/>
      <c r="P7" s="181"/>
      <c r="Q7" s="181"/>
      <c r="R7" s="181"/>
      <c r="S7" s="181"/>
      <c r="T7" s="181"/>
      <c r="U7" s="181"/>
      <c r="V7" s="181"/>
      <c r="W7" s="182" t="s">
        <v>263</v>
      </c>
      <c r="X7" s="181"/>
      <c r="Y7" s="181"/>
      <c r="Z7" s="181"/>
      <c r="AA7" s="181"/>
      <c r="AB7" s="181"/>
      <c r="AC7" s="181"/>
      <c r="AD7" s="181"/>
      <c r="AE7" s="183"/>
      <c r="AF7" s="183"/>
      <c r="AG7" s="181"/>
      <c r="AH7" s="181"/>
      <c r="AI7" s="181"/>
      <c r="AJ7" s="181"/>
      <c r="AK7" s="181"/>
      <c r="AL7" s="181"/>
      <c r="AM7" s="181"/>
      <c r="AN7" s="181"/>
      <c r="AO7" s="181"/>
      <c r="AP7" s="181"/>
      <c r="AQ7" s="181"/>
      <c r="AR7" s="181"/>
      <c r="AS7" s="181"/>
      <c r="AT7" s="184"/>
    </row>
    <row r="8" spans="2:55" ht="13.5" customHeight="1">
      <c r="B8" s="185"/>
      <c r="D8" s="186"/>
      <c r="E8" s="170" t="s">
        <v>264</v>
      </c>
      <c r="Q8" s="310"/>
      <c r="R8" s="170" t="s">
        <v>265</v>
      </c>
      <c r="Y8" s="187"/>
      <c r="AB8" s="188"/>
      <c r="AC8" s="189"/>
      <c r="AD8" s="189"/>
      <c r="AE8" s="190"/>
      <c r="AF8" s="175" t="s">
        <v>266</v>
      </c>
      <c r="AM8" s="191"/>
      <c r="AN8" s="191"/>
      <c r="AO8" s="191"/>
      <c r="AP8" s="191"/>
      <c r="AQ8" s="191"/>
      <c r="AR8" s="191"/>
      <c r="AT8" s="176"/>
    </row>
    <row r="9" spans="2:55" ht="13.5" customHeight="1">
      <c r="B9" s="185"/>
      <c r="D9" s="192"/>
      <c r="Q9" s="192"/>
      <c r="Y9" s="187"/>
      <c r="AE9" s="175"/>
      <c r="AF9" s="175" t="s">
        <v>267</v>
      </c>
      <c r="AM9" s="191"/>
      <c r="AN9" s="191"/>
      <c r="AO9" s="191"/>
      <c r="AP9" s="191"/>
      <c r="AQ9" s="191"/>
      <c r="AR9" s="191"/>
      <c r="AT9" s="176"/>
    </row>
    <row r="10" spans="2:55" ht="13.5" customHeight="1" thickBot="1">
      <c r="B10" s="185"/>
      <c r="D10" s="186"/>
      <c r="E10" s="193" t="s">
        <v>268</v>
      </c>
      <c r="Q10" s="310"/>
      <c r="R10" s="170" t="s">
        <v>269</v>
      </c>
      <c r="Y10" s="187"/>
      <c r="AE10" s="175"/>
      <c r="AF10" s="175"/>
      <c r="AM10" s="191"/>
      <c r="AN10" s="191"/>
      <c r="AO10" s="191"/>
      <c r="AP10" s="191"/>
      <c r="AQ10" s="191"/>
      <c r="AR10" s="191"/>
      <c r="AT10" s="176"/>
    </row>
    <row r="11" spans="2:55" ht="15.75" customHeight="1" thickBot="1">
      <c r="B11" s="194"/>
      <c r="AB11" s="533"/>
      <c r="AC11" s="534"/>
      <c r="AD11" s="534"/>
      <c r="AE11" s="534"/>
      <c r="AF11" s="534"/>
      <c r="AG11" s="535"/>
      <c r="AH11" s="195" t="s">
        <v>270</v>
      </c>
      <c r="AJ11" s="196"/>
      <c r="AT11" s="176"/>
    </row>
    <row r="12" spans="2:55" ht="16.5" customHeight="1">
      <c r="B12" s="185"/>
      <c r="C12" s="197" t="s">
        <v>271</v>
      </c>
      <c r="D12" s="197"/>
      <c r="AT12" s="176"/>
    </row>
    <row r="13" spans="2:55" ht="16.5" customHeight="1">
      <c r="B13" s="185"/>
      <c r="C13" s="520" t="s">
        <v>272</v>
      </c>
      <c r="D13" s="521"/>
      <c r="E13" s="521"/>
      <c r="F13" s="521"/>
      <c r="G13" s="521"/>
      <c r="H13" s="521"/>
      <c r="I13" s="522"/>
      <c r="J13" s="516"/>
      <c r="K13" s="517"/>
      <c r="L13" s="517"/>
      <c r="M13" s="517"/>
      <c r="N13" s="517"/>
      <c r="O13" s="517"/>
      <c r="P13" s="517"/>
      <c r="Q13" s="517"/>
      <c r="R13" s="517"/>
      <c r="S13" s="517"/>
      <c r="T13" s="517"/>
      <c r="U13" s="517"/>
      <c r="V13" s="517"/>
      <c r="W13" s="517"/>
      <c r="X13" s="517"/>
      <c r="Y13" s="518"/>
      <c r="Z13" s="198" t="s">
        <v>273</v>
      </c>
      <c r="AA13" s="192"/>
      <c r="AB13" s="192"/>
      <c r="AC13" s="192"/>
      <c r="AD13" s="192"/>
      <c r="AE13" s="192"/>
      <c r="AF13" s="192"/>
      <c r="AG13" s="192"/>
      <c r="AH13" s="199"/>
      <c r="AI13" s="516"/>
      <c r="AJ13" s="517"/>
      <c r="AK13" s="517"/>
      <c r="AL13" s="517"/>
      <c r="AM13" s="517"/>
      <c r="AN13" s="517"/>
      <c r="AO13" s="517"/>
      <c r="AP13" s="517"/>
      <c r="AQ13" s="517"/>
      <c r="AR13" s="517"/>
      <c r="AS13" s="518"/>
      <c r="AT13" s="176"/>
    </row>
    <row r="14" spans="2:55" ht="21" customHeight="1">
      <c r="B14" s="185"/>
      <c r="C14" s="200" t="s">
        <v>274</v>
      </c>
      <c r="D14" s="201"/>
      <c r="E14" s="201"/>
      <c r="F14" s="201"/>
      <c r="G14" s="201"/>
      <c r="H14" s="201"/>
      <c r="I14" s="201"/>
      <c r="J14" s="516"/>
      <c r="K14" s="517"/>
      <c r="L14" s="517"/>
      <c r="M14" s="517"/>
      <c r="N14" s="517"/>
      <c r="O14" s="517"/>
      <c r="P14" s="517"/>
      <c r="Q14" s="517"/>
      <c r="R14" s="517"/>
      <c r="S14" s="517"/>
      <c r="T14" s="517"/>
      <c r="U14" s="517"/>
      <c r="V14" s="517"/>
      <c r="W14" s="517"/>
      <c r="X14" s="517"/>
      <c r="Y14" s="518"/>
      <c r="Z14" s="202" t="s">
        <v>275</v>
      </c>
      <c r="AA14" s="192"/>
      <c r="AB14" s="192"/>
      <c r="AC14" s="192"/>
      <c r="AD14" s="192"/>
      <c r="AE14" s="192"/>
      <c r="AF14" s="192"/>
      <c r="AG14" s="192"/>
      <c r="AH14" s="199"/>
      <c r="AI14" s="513"/>
      <c r="AJ14" s="514"/>
      <c r="AK14" s="514"/>
      <c r="AL14" s="514"/>
      <c r="AM14" s="514"/>
      <c r="AN14" s="514"/>
      <c r="AO14" s="514"/>
      <c r="AP14" s="514"/>
      <c r="AQ14" s="514"/>
      <c r="AR14" s="514"/>
      <c r="AS14" s="515"/>
      <c r="AT14" s="176"/>
    </row>
    <row r="15" spans="2:55" ht="21" customHeight="1">
      <c r="B15" s="185"/>
      <c r="C15" s="200" t="s">
        <v>276</v>
      </c>
      <c r="D15" s="203"/>
      <c r="E15" s="203"/>
      <c r="F15" s="203"/>
      <c r="G15" s="203"/>
      <c r="H15" s="203"/>
      <c r="I15" s="203"/>
      <c r="J15" s="516"/>
      <c r="K15" s="517"/>
      <c r="L15" s="517"/>
      <c r="M15" s="517"/>
      <c r="N15" s="517"/>
      <c r="O15" s="517"/>
      <c r="P15" s="517"/>
      <c r="Q15" s="517"/>
      <c r="R15" s="517"/>
      <c r="S15" s="517"/>
      <c r="T15" s="517"/>
      <c r="U15" s="517"/>
      <c r="V15" s="517"/>
      <c r="W15" s="517"/>
      <c r="X15" s="517"/>
      <c r="Y15" s="518"/>
      <c r="Z15" s="202" t="s">
        <v>277</v>
      </c>
      <c r="AA15" s="204"/>
      <c r="AB15" s="204"/>
      <c r="AC15" s="204"/>
      <c r="AD15" s="204"/>
      <c r="AE15" s="204"/>
      <c r="AF15" s="204"/>
      <c r="AG15" s="204"/>
      <c r="AH15" s="199"/>
      <c r="AI15" s="513">
        <v>0</v>
      </c>
      <c r="AJ15" s="514"/>
      <c r="AK15" s="514"/>
      <c r="AL15" s="514"/>
      <c r="AM15" s="514"/>
      <c r="AN15" s="514"/>
      <c r="AO15" s="514"/>
      <c r="AP15" s="514"/>
      <c r="AQ15" s="514"/>
      <c r="AR15" s="514"/>
      <c r="AS15" s="515"/>
      <c r="AT15" s="176"/>
    </row>
    <row r="16" spans="2:55" ht="21" customHeight="1">
      <c r="B16" s="185"/>
      <c r="C16" s="200" t="s">
        <v>278</v>
      </c>
      <c r="D16" s="203"/>
      <c r="E16" s="203"/>
      <c r="F16" s="203"/>
      <c r="G16" s="203"/>
      <c r="H16" s="203"/>
      <c r="I16" s="205"/>
      <c r="J16" s="516"/>
      <c r="K16" s="517"/>
      <c r="L16" s="517"/>
      <c r="M16" s="517"/>
      <c r="N16" s="517"/>
      <c r="O16" s="517"/>
      <c r="P16" s="517"/>
      <c r="Q16" s="517"/>
      <c r="R16" s="517"/>
      <c r="S16" s="517"/>
      <c r="T16" s="517"/>
      <c r="U16" s="517"/>
      <c r="V16" s="517"/>
      <c r="W16" s="517"/>
      <c r="X16" s="517"/>
      <c r="Y16" s="518"/>
      <c r="Z16" s="202" t="s">
        <v>279</v>
      </c>
      <c r="AA16" s="204"/>
      <c r="AB16" s="204"/>
      <c r="AC16" s="204"/>
      <c r="AD16" s="204"/>
      <c r="AE16" s="204"/>
      <c r="AF16" s="204"/>
      <c r="AG16" s="204"/>
      <c r="AH16" s="199"/>
      <c r="AI16" s="493">
        <f>+AI15+AI14</f>
        <v>0</v>
      </c>
      <c r="AJ16" s="494"/>
      <c r="AK16" s="494"/>
      <c r="AL16" s="494"/>
      <c r="AM16" s="494"/>
      <c r="AN16" s="494"/>
      <c r="AO16" s="494"/>
      <c r="AP16" s="494"/>
      <c r="AQ16" s="494"/>
      <c r="AR16" s="494"/>
      <c r="AS16" s="495"/>
      <c r="AT16" s="176"/>
      <c r="BC16" s="170" t="s">
        <v>280</v>
      </c>
    </row>
    <row r="17" spans="2:55" ht="21" customHeight="1">
      <c r="B17" s="185"/>
      <c r="C17" s="206" t="s">
        <v>281</v>
      </c>
      <c r="J17" s="516"/>
      <c r="K17" s="517"/>
      <c r="L17" s="517"/>
      <c r="M17" s="517"/>
      <c r="N17" s="517"/>
      <c r="O17" s="517"/>
      <c r="P17" s="517"/>
      <c r="Q17" s="517"/>
      <c r="R17" s="517"/>
      <c r="S17" s="517"/>
      <c r="T17" s="517"/>
      <c r="U17" s="517"/>
      <c r="V17" s="517"/>
      <c r="W17" s="517"/>
      <c r="X17" s="517"/>
      <c r="Y17" s="518"/>
      <c r="Z17" s="198" t="s">
        <v>282</v>
      </c>
      <c r="AA17" s="192"/>
      <c r="AB17" s="192"/>
      <c r="AC17" s="192"/>
      <c r="AD17" s="192"/>
      <c r="AE17" s="192"/>
      <c r="AF17" s="192"/>
      <c r="AG17" s="192"/>
      <c r="AH17" s="199"/>
      <c r="AI17" s="519"/>
      <c r="AJ17" s="517"/>
      <c r="AK17" s="517"/>
      <c r="AL17" s="517"/>
      <c r="AM17" s="517"/>
      <c r="AN17" s="517"/>
      <c r="AO17" s="517"/>
      <c r="AP17" s="517"/>
      <c r="AQ17" s="517"/>
      <c r="AR17" s="517"/>
      <c r="AS17" s="518"/>
      <c r="AT17" s="176"/>
      <c r="BC17" s="170" t="s">
        <v>283</v>
      </c>
    </row>
    <row r="18" spans="2:55" ht="21" customHeight="1">
      <c r="B18" s="185"/>
      <c r="C18" s="520" t="s">
        <v>284</v>
      </c>
      <c r="D18" s="521"/>
      <c r="E18" s="521"/>
      <c r="F18" s="521"/>
      <c r="G18" s="521"/>
      <c r="H18" s="521"/>
      <c r="I18" s="521"/>
      <c r="J18" s="516"/>
      <c r="K18" s="517"/>
      <c r="L18" s="517"/>
      <c r="M18" s="517"/>
      <c r="N18" s="517"/>
      <c r="O18" s="517"/>
      <c r="P18" s="517"/>
      <c r="Q18" s="517"/>
      <c r="R18" s="517"/>
      <c r="S18" s="517"/>
      <c r="T18" s="517"/>
      <c r="U18" s="517"/>
      <c r="V18" s="517"/>
      <c r="W18" s="517"/>
      <c r="X18" s="517"/>
      <c r="Y18" s="518"/>
      <c r="Z18" s="198" t="s">
        <v>285</v>
      </c>
      <c r="AA18" s="192"/>
      <c r="AB18" s="192"/>
      <c r="AC18" s="192"/>
      <c r="AD18" s="192"/>
      <c r="AE18" s="192"/>
      <c r="AF18" s="192"/>
      <c r="AG18" s="192"/>
      <c r="AH18" s="199"/>
      <c r="AI18" s="519"/>
      <c r="AJ18" s="517"/>
      <c r="AK18" s="517"/>
      <c r="AL18" s="517"/>
      <c r="AM18" s="517"/>
      <c r="AN18" s="517"/>
      <c r="AO18" s="517"/>
      <c r="AP18" s="517"/>
      <c r="AQ18" s="517"/>
      <c r="AR18" s="517"/>
      <c r="AS18" s="518"/>
      <c r="AT18" s="176"/>
      <c r="BC18" s="170" t="s">
        <v>286</v>
      </c>
    </row>
    <row r="19" spans="2:55" ht="21" customHeight="1">
      <c r="B19" s="185"/>
      <c r="C19" s="198" t="s">
        <v>287</v>
      </c>
      <c r="D19" s="192"/>
      <c r="E19" s="192"/>
      <c r="F19" s="192"/>
      <c r="G19" s="192"/>
      <c r="H19" s="192"/>
      <c r="I19" s="199"/>
      <c r="J19" s="516"/>
      <c r="K19" s="517"/>
      <c r="L19" s="517"/>
      <c r="M19" s="517"/>
      <c r="N19" s="517"/>
      <c r="O19" s="517"/>
      <c r="P19" s="517"/>
      <c r="Q19" s="517"/>
      <c r="R19" s="517"/>
      <c r="S19" s="517"/>
      <c r="T19" s="517"/>
      <c r="U19" s="517"/>
      <c r="V19" s="517"/>
      <c r="W19" s="517"/>
      <c r="X19" s="517"/>
      <c r="Y19" s="518"/>
      <c r="Z19" s="198" t="s">
        <v>288</v>
      </c>
      <c r="AA19" s="192"/>
      <c r="AB19" s="192"/>
      <c r="AC19" s="192"/>
      <c r="AD19" s="192"/>
      <c r="AE19" s="192"/>
      <c r="AF19" s="192"/>
      <c r="AG19" s="192"/>
      <c r="AH19" s="199"/>
      <c r="AI19" s="519"/>
      <c r="AJ19" s="517"/>
      <c r="AK19" s="517"/>
      <c r="AL19" s="517"/>
      <c r="AM19" s="517"/>
      <c r="AN19" s="517"/>
      <c r="AO19" s="517"/>
      <c r="AP19" s="517"/>
      <c r="AQ19" s="517"/>
      <c r="AR19" s="517"/>
      <c r="AS19" s="518"/>
      <c r="AT19" s="176"/>
      <c r="BC19" s="170" t="s">
        <v>289</v>
      </c>
    </row>
    <row r="20" spans="2:55" ht="21" customHeight="1">
      <c r="B20" s="185"/>
      <c r="C20" s="207" t="s">
        <v>290</v>
      </c>
      <c r="D20" s="192"/>
      <c r="E20" s="192"/>
      <c r="F20" s="192"/>
      <c r="G20" s="192"/>
      <c r="H20" s="192"/>
      <c r="I20" s="192"/>
      <c r="J20" s="208"/>
      <c r="K20" s="208"/>
      <c r="L20" s="208"/>
      <c r="M20" s="208"/>
      <c r="N20" s="208"/>
      <c r="O20" s="208"/>
      <c r="P20" s="208"/>
      <c r="Q20" s="208"/>
      <c r="R20" s="208"/>
      <c r="S20" s="208"/>
      <c r="T20" s="208"/>
      <c r="U20" s="208"/>
      <c r="V20" s="208"/>
      <c r="W20" s="208"/>
      <c r="X20" s="208"/>
      <c r="Y20" s="208"/>
      <c r="Z20" s="192"/>
      <c r="AA20" s="192"/>
      <c r="AB20" s="192"/>
      <c r="AC20" s="192"/>
      <c r="AD20" s="192"/>
      <c r="AE20" s="192"/>
      <c r="AF20" s="192"/>
      <c r="AG20" s="192"/>
      <c r="AH20" s="192"/>
      <c r="AI20" s="208"/>
      <c r="AJ20" s="208"/>
      <c r="AK20" s="208"/>
      <c r="AL20" s="208"/>
      <c r="AM20" s="208"/>
      <c r="AN20" s="208"/>
      <c r="AO20" s="208"/>
      <c r="AP20" s="196"/>
      <c r="AQ20" s="196"/>
      <c r="AR20" s="196"/>
      <c r="AS20" s="196"/>
      <c r="AT20" s="176"/>
      <c r="BC20" s="170" t="s">
        <v>291</v>
      </c>
    </row>
    <row r="21" spans="2:55" ht="16.5" customHeight="1">
      <c r="B21" s="185"/>
      <c r="C21" s="198" t="s">
        <v>292</v>
      </c>
      <c r="D21" s="192"/>
      <c r="E21" s="192"/>
      <c r="F21" s="192"/>
      <c r="G21" s="192"/>
      <c r="H21" s="199"/>
      <c r="I21" s="492" t="s">
        <v>293</v>
      </c>
      <c r="J21" s="496"/>
      <c r="K21" s="496"/>
      <c r="L21" s="496"/>
      <c r="M21" s="496" t="s">
        <v>294</v>
      </c>
      <c r="N21" s="496"/>
      <c r="O21" s="496"/>
      <c r="P21" s="496"/>
      <c r="Q21" s="496" t="s">
        <v>295</v>
      </c>
      <c r="R21" s="496"/>
      <c r="S21" s="496"/>
      <c r="T21" s="496"/>
      <c r="U21" s="496"/>
      <c r="V21" s="496"/>
      <c r="W21" s="496" t="s">
        <v>296</v>
      </c>
      <c r="X21" s="496"/>
      <c r="Y21" s="496"/>
      <c r="Z21" s="496"/>
      <c r="AA21" s="490" t="s">
        <v>297</v>
      </c>
      <c r="AB21" s="491"/>
      <c r="AC21" s="491"/>
      <c r="AD21" s="492"/>
      <c r="AE21" s="490" t="s">
        <v>298</v>
      </c>
      <c r="AF21" s="491"/>
      <c r="AG21" s="491"/>
      <c r="AH21" s="492"/>
      <c r="AI21" s="490" t="s">
        <v>299</v>
      </c>
      <c r="AJ21" s="491"/>
      <c r="AK21" s="491"/>
      <c r="AL21" s="491"/>
      <c r="AM21" s="491"/>
      <c r="AN21" s="491"/>
      <c r="AO21" s="492"/>
      <c r="AT21" s="176"/>
      <c r="AX21" s="209"/>
      <c r="BC21" s="170" t="s">
        <v>300</v>
      </c>
    </row>
    <row r="22" spans="2:55" ht="16.5" customHeight="1">
      <c r="B22" s="185"/>
      <c r="C22" s="210" t="s">
        <v>301</v>
      </c>
      <c r="D22" s="210"/>
      <c r="E22" s="192"/>
      <c r="F22" s="198"/>
      <c r="G22" s="192"/>
      <c r="H22" s="199"/>
      <c r="I22" s="511"/>
      <c r="J22" s="511"/>
      <c r="K22" s="511"/>
      <c r="L22" s="511"/>
      <c r="M22" s="512"/>
      <c r="N22" s="512"/>
      <c r="O22" s="512"/>
      <c r="P22" s="512"/>
      <c r="Q22" s="512"/>
      <c r="R22" s="512"/>
      <c r="S22" s="512"/>
      <c r="T22" s="512"/>
      <c r="U22" s="512"/>
      <c r="V22" s="512"/>
      <c r="W22" s="512"/>
      <c r="X22" s="512"/>
      <c r="Y22" s="512"/>
      <c r="Z22" s="512"/>
      <c r="AA22" s="513"/>
      <c r="AB22" s="514"/>
      <c r="AC22" s="514"/>
      <c r="AD22" s="515"/>
      <c r="AE22" s="513"/>
      <c r="AF22" s="514"/>
      <c r="AG22" s="514"/>
      <c r="AH22" s="515"/>
      <c r="AI22" s="493">
        <f>SUM(I22:AH22)</f>
        <v>0</v>
      </c>
      <c r="AJ22" s="494"/>
      <c r="AK22" s="494"/>
      <c r="AL22" s="494"/>
      <c r="AM22" s="494"/>
      <c r="AN22" s="494"/>
      <c r="AO22" s="495"/>
      <c r="AT22" s="176"/>
      <c r="BC22" s="170" t="s">
        <v>302</v>
      </c>
    </row>
    <row r="23" spans="2:55" ht="5.25" customHeight="1">
      <c r="B23" s="185"/>
      <c r="AT23" s="176"/>
      <c r="BC23" s="170" t="s">
        <v>303</v>
      </c>
    </row>
    <row r="24" spans="2:55" ht="16.5" customHeight="1">
      <c r="B24" s="185"/>
      <c r="C24" s="211" t="s">
        <v>304</v>
      </c>
      <c r="D24" s="212"/>
      <c r="E24" s="212"/>
      <c r="F24" s="212"/>
      <c r="G24" s="212"/>
      <c r="H24" s="212"/>
      <c r="I24" s="508" t="s">
        <v>305</v>
      </c>
      <c r="J24" s="509"/>
      <c r="K24" s="509"/>
      <c r="L24" s="510"/>
      <c r="M24" s="492" t="s">
        <v>306</v>
      </c>
      <c r="N24" s="496"/>
      <c r="O24" s="496"/>
      <c r="P24" s="496"/>
      <c r="Q24" s="496" t="s">
        <v>307</v>
      </c>
      <c r="R24" s="496"/>
      <c r="S24" s="496"/>
      <c r="T24" s="496"/>
      <c r="U24" s="496"/>
      <c r="V24" s="496"/>
      <c r="W24" s="496" t="s">
        <v>308</v>
      </c>
      <c r="X24" s="496"/>
      <c r="Y24" s="496"/>
      <c r="Z24" s="496"/>
      <c r="AA24" s="490" t="s">
        <v>309</v>
      </c>
      <c r="AB24" s="491"/>
      <c r="AC24" s="491"/>
      <c r="AD24" s="492"/>
      <c r="AE24" s="490" t="s">
        <v>310</v>
      </c>
      <c r="AF24" s="491"/>
      <c r="AG24" s="491"/>
      <c r="AH24" s="492"/>
      <c r="AI24" s="490" t="s">
        <v>311</v>
      </c>
      <c r="AJ24" s="491"/>
      <c r="AK24" s="491"/>
      <c r="AL24" s="491"/>
      <c r="AM24" s="491"/>
      <c r="AN24" s="491"/>
      <c r="AO24" s="492"/>
      <c r="AT24" s="176"/>
      <c r="BC24" s="170" t="s">
        <v>76</v>
      </c>
    </row>
    <row r="25" spans="2:55" ht="16.5" customHeight="1">
      <c r="B25" s="185"/>
      <c r="C25" s="211" t="s">
        <v>301</v>
      </c>
      <c r="D25" s="212"/>
      <c r="E25" s="212"/>
      <c r="F25" s="212"/>
      <c r="G25" s="212"/>
      <c r="H25" s="212"/>
      <c r="I25" s="504"/>
      <c r="J25" s="505"/>
      <c r="K25" s="505"/>
      <c r="L25" s="506"/>
      <c r="M25" s="506">
        <v>0</v>
      </c>
      <c r="N25" s="507"/>
      <c r="O25" s="507"/>
      <c r="P25" s="507"/>
      <c r="Q25" s="507"/>
      <c r="R25" s="507"/>
      <c r="S25" s="507"/>
      <c r="T25" s="507"/>
      <c r="U25" s="507"/>
      <c r="V25" s="507"/>
      <c r="W25" s="507"/>
      <c r="X25" s="507"/>
      <c r="Y25" s="507"/>
      <c r="Z25" s="507"/>
      <c r="AA25" s="504"/>
      <c r="AB25" s="505"/>
      <c r="AC25" s="505"/>
      <c r="AD25" s="506"/>
      <c r="AE25" s="504"/>
      <c r="AF25" s="505"/>
      <c r="AG25" s="505"/>
      <c r="AH25" s="506"/>
      <c r="AI25" s="493">
        <f>SUM(I25:AH25)</f>
        <v>0</v>
      </c>
      <c r="AJ25" s="494"/>
      <c r="AK25" s="494"/>
      <c r="AL25" s="494"/>
      <c r="AM25" s="494"/>
      <c r="AN25" s="494"/>
      <c r="AO25" s="495"/>
      <c r="AT25" s="176"/>
    </row>
    <row r="26" spans="2:55" ht="27.75" customHeight="1">
      <c r="B26" s="185"/>
      <c r="C26" s="213" t="s">
        <v>312</v>
      </c>
      <c r="D26" s="214"/>
      <c r="E26" s="214"/>
      <c r="F26" s="214"/>
      <c r="G26" s="214"/>
      <c r="H26" s="214"/>
      <c r="I26" s="214"/>
      <c r="J26" s="214"/>
      <c r="K26" s="214"/>
      <c r="L26" s="214"/>
      <c r="M26" s="214"/>
      <c r="N26" s="214"/>
      <c r="O26" s="214"/>
      <c r="P26" s="214"/>
      <c r="Q26" s="214"/>
      <c r="R26" s="214"/>
      <c r="S26" s="214"/>
      <c r="T26" s="214"/>
      <c r="U26" s="214"/>
      <c r="V26" s="214"/>
      <c r="W26" s="214"/>
      <c r="X26" s="214"/>
      <c r="Y26" s="214"/>
      <c r="Z26" s="214"/>
      <c r="AA26" s="214"/>
      <c r="AB26" s="214"/>
      <c r="AC26" s="214"/>
      <c r="AD26" s="214"/>
      <c r="AE26" s="214"/>
      <c r="AF26" s="214"/>
      <c r="AG26" s="214"/>
      <c r="AH26" s="214"/>
      <c r="AI26" s="214"/>
      <c r="AJ26" s="214"/>
      <c r="AK26" s="214"/>
      <c r="AL26" s="214"/>
      <c r="AM26" s="214"/>
      <c r="AN26" s="214"/>
      <c r="AO26" s="214"/>
      <c r="AP26" s="214"/>
      <c r="AQ26" s="214"/>
      <c r="AR26" s="214" t="s">
        <v>313</v>
      </c>
      <c r="AS26" s="215"/>
      <c r="AT26" s="176"/>
    </row>
    <row r="27" spans="2:55" ht="27.75" customHeight="1">
      <c r="B27" s="185"/>
      <c r="C27" s="501"/>
      <c r="D27" s="502"/>
      <c r="E27" s="502"/>
      <c r="F27" s="502"/>
      <c r="G27" s="502"/>
      <c r="H27" s="502"/>
      <c r="I27" s="502"/>
      <c r="J27" s="502"/>
      <c r="K27" s="502"/>
      <c r="L27" s="502"/>
      <c r="M27" s="502"/>
      <c r="N27" s="502"/>
      <c r="O27" s="502"/>
      <c r="P27" s="502"/>
      <c r="Q27" s="502"/>
      <c r="R27" s="502"/>
      <c r="S27" s="502"/>
      <c r="T27" s="502"/>
      <c r="U27" s="502"/>
      <c r="V27" s="502"/>
      <c r="W27" s="502"/>
      <c r="X27" s="502"/>
      <c r="Y27" s="502"/>
      <c r="Z27" s="502"/>
      <c r="AA27" s="502"/>
      <c r="AB27" s="502"/>
      <c r="AC27" s="502"/>
      <c r="AD27" s="502"/>
      <c r="AE27" s="502"/>
      <c r="AF27" s="502"/>
      <c r="AG27" s="502"/>
      <c r="AH27" s="502"/>
      <c r="AI27" s="502"/>
      <c r="AJ27" s="502"/>
      <c r="AK27" s="502"/>
      <c r="AL27" s="502"/>
      <c r="AM27" s="502"/>
      <c r="AN27" s="502"/>
      <c r="AO27" s="502"/>
      <c r="AP27" s="502"/>
      <c r="AQ27" s="502"/>
      <c r="AR27" s="502"/>
      <c r="AS27" s="503"/>
      <c r="AT27" s="176"/>
      <c r="AX27" s="170" t="s">
        <v>106</v>
      </c>
    </row>
    <row r="28" spans="2:55" ht="27.75" customHeight="1">
      <c r="B28" s="185"/>
      <c r="C28" s="216"/>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8"/>
      <c r="AT28" s="176"/>
    </row>
    <row r="29" spans="2:55" ht="27.75" customHeight="1">
      <c r="B29" s="185"/>
      <c r="C29" s="219"/>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1"/>
      <c r="AT29" s="176"/>
    </row>
    <row r="30" spans="2:55" ht="5.25" customHeight="1">
      <c r="B30" s="185"/>
      <c r="AT30" s="176"/>
    </row>
    <row r="31" spans="2:55" ht="6" customHeight="1" thickBot="1">
      <c r="B31" s="222"/>
      <c r="C31" s="223"/>
      <c r="D31" s="223"/>
      <c r="E31" s="223"/>
      <c r="F31" s="223"/>
      <c r="G31" s="223"/>
      <c r="H31" s="223"/>
      <c r="I31" s="223"/>
      <c r="J31" s="223"/>
      <c r="K31" s="223"/>
      <c r="L31" s="223"/>
      <c r="M31" s="223"/>
      <c r="N31" s="223"/>
      <c r="O31" s="223"/>
      <c r="P31" s="223"/>
      <c r="Q31" s="223"/>
      <c r="R31" s="223"/>
      <c r="S31" s="223"/>
      <c r="T31" s="223"/>
      <c r="U31" s="223"/>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4"/>
    </row>
    <row r="32" spans="2:55" ht="16.5" customHeight="1">
      <c r="B32" s="180" t="s">
        <v>314</v>
      </c>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c r="AA32" s="181"/>
      <c r="AB32" s="181"/>
      <c r="AC32" s="181"/>
      <c r="AD32" s="181"/>
      <c r="AE32" s="181"/>
      <c r="AF32" s="181"/>
      <c r="AG32" s="181"/>
      <c r="AH32" s="181"/>
      <c r="AI32" s="181"/>
      <c r="AJ32" s="181"/>
      <c r="AK32" s="182" t="s">
        <v>315</v>
      </c>
      <c r="AL32" s="181"/>
      <c r="AM32" s="181"/>
      <c r="AN32" s="181"/>
      <c r="AO32" s="181"/>
      <c r="AP32" s="181"/>
      <c r="AQ32" s="181"/>
      <c r="AR32" s="181"/>
      <c r="AS32" s="181"/>
      <c r="AT32" s="184"/>
    </row>
    <row r="33" spans="2:46" ht="9.9499999999999993" customHeight="1">
      <c r="B33" s="185"/>
      <c r="AT33" s="176"/>
    </row>
    <row r="34" spans="2:46" ht="17.25" customHeight="1">
      <c r="B34" s="185"/>
      <c r="M34" s="490" t="s">
        <v>292</v>
      </c>
      <c r="N34" s="491"/>
      <c r="O34" s="491"/>
      <c r="P34" s="491"/>
      <c r="Q34" s="491"/>
      <c r="R34" s="491"/>
      <c r="S34" s="225"/>
      <c r="T34" s="496" t="s">
        <v>304</v>
      </c>
      <c r="U34" s="496"/>
      <c r="V34" s="496"/>
      <c r="W34" s="496"/>
      <c r="X34" s="496"/>
      <c r="Y34" s="496"/>
      <c r="Z34" s="496"/>
      <c r="AA34" s="496" t="s">
        <v>316</v>
      </c>
      <c r="AB34" s="496"/>
      <c r="AC34" s="496"/>
      <c r="AD34" s="496"/>
      <c r="AE34" s="496"/>
      <c r="AF34" s="496"/>
      <c r="AG34" s="496"/>
      <c r="AH34" s="496"/>
      <c r="AK34" s="186"/>
      <c r="AM34" s="170" t="s">
        <v>317</v>
      </c>
      <c r="AT34" s="176"/>
    </row>
    <row r="35" spans="2:46" ht="17.25" customHeight="1">
      <c r="B35" s="185"/>
      <c r="E35" s="211" t="s">
        <v>318</v>
      </c>
      <c r="F35" s="212"/>
      <c r="G35" s="212"/>
      <c r="H35" s="212"/>
      <c r="I35" s="212"/>
      <c r="J35" s="212"/>
      <c r="K35" s="212"/>
      <c r="L35" s="226"/>
      <c r="M35" s="497"/>
      <c r="N35" s="498"/>
      <c r="O35" s="498"/>
      <c r="P35" s="498"/>
      <c r="Q35" s="498"/>
      <c r="R35" s="498"/>
      <c r="S35" s="227"/>
      <c r="T35" s="498"/>
      <c r="U35" s="498"/>
      <c r="V35" s="498"/>
      <c r="W35" s="498"/>
      <c r="X35" s="498"/>
      <c r="Y35" s="498"/>
      <c r="Z35" s="499"/>
      <c r="AA35" s="500">
        <f>SUM(M35:Z35)</f>
        <v>0</v>
      </c>
      <c r="AB35" s="500"/>
      <c r="AC35" s="500"/>
      <c r="AD35" s="500"/>
      <c r="AE35" s="500"/>
      <c r="AF35" s="500"/>
      <c r="AG35" s="500"/>
      <c r="AH35" s="500"/>
      <c r="AK35" s="192"/>
      <c r="AT35" s="176"/>
    </row>
    <row r="36" spans="2:46" ht="17.25" customHeight="1">
      <c r="B36" s="185"/>
      <c r="E36" s="216" t="s">
        <v>319</v>
      </c>
      <c r="F36" s="217"/>
      <c r="G36" s="217"/>
      <c r="H36" s="217"/>
      <c r="I36" s="217"/>
      <c r="J36" s="217"/>
      <c r="K36" s="217"/>
      <c r="L36" s="218"/>
      <c r="M36" s="486"/>
      <c r="N36" s="487"/>
      <c r="O36" s="487"/>
      <c r="P36" s="487"/>
      <c r="Q36" s="487"/>
      <c r="R36" s="487"/>
      <c r="S36" s="488"/>
      <c r="T36" s="487"/>
      <c r="U36" s="487"/>
      <c r="V36" s="487"/>
      <c r="W36" s="487"/>
      <c r="X36" s="487"/>
      <c r="Y36" s="487"/>
      <c r="Z36" s="488"/>
      <c r="AA36" s="489">
        <f>SUM(M36:Z36)</f>
        <v>0</v>
      </c>
      <c r="AB36" s="489"/>
      <c r="AC36" s="489"/>
      <c r="AD36" s="489"/>
      <c r="AE36" s="489"/>
      <c r="AF36" s="489"/>
      <c r="AG36" s="489"/>
      <c r="AH36" s="489"/>
      <c r="AK36" s="186"/>
      <c r="AM36" s="170" t="s">
        <v>320</v>
      </c>
      <c r="AT36" s="176"/>
    </row>
    <row r="37" spans="2:46" ht="17.25" customHeight="1">
      <c r="B37" s="185"/>
      <c r="E37" s="198" t="s">
        <v>321</v>
      </c>
      <c r="F37" s="192"/>
      <c r="G37" s="192"/>
      <c r="H37" s="192"/>
      <c r="I37" s="192"/>
      <c r="J37" s="192"/>
      <c r="K37" s="192"/>
      <c r="L37" s="199"/>
      <c r="M37" s="490">
        <f>SUM(M35:S36)</f>
        <v>0</v>
      </c>
      <c r="N37" s="491"/>
      <c r="O37" s="491"/>
      <c r="P37" s="491"/>
      <c r="Q37" s="491"/>
      <c r="R37" s="491"/>
      <c r="S37" s="492"/>
      <c r="T37" s="490">
        <f>SUM(T35:Z36)</f>
        <v>0</v>
      </c>
      <c r="U37" s="491"/>
      <c r="V37" s="491"/>
      <c r="W37" s="491"/>
      <c r="X37" s="491"/>
      <c r="Y37" s="491"/>
      <c r="Z37" s="492"/>
      <c r="AA37" s="490">
        <f>SUM(AA35:AH36)</f>
        <v>0</v>
      </c>
      <c r="AB37" s="491"/>
      <c r="AC37" s="491"/>
      <c r="AD37" s="491"/>
      <c r="AE37" s="491"/>
      <c r="AF37" s="491"/>
      <c r="AG37" s="491"/>
      <c r="AH37" s="492"/>
      <c r="AT37" s="176"/>
    </row>
    <row r="38" spans="2:46" ht="17.25" customHeight="1">
      <c r="B38" s="228"/>
      <c r="C38" s="229"/>
      <c r="D38" s="229"/>
      <c r="E38" s="229"/>
      <c r="F38" s="229"/>
      <c r="G38" s="229"/>
      <c r="H38" s="229"/>
      <c r="I38" s="229"/>
      <c r="J38" s="229"/>
      <c r="K38" s="229"/>
      <c r="L38" s="229"/>
      <c r="M38" s="229"/>
      <c r="N38" s="229"/>
      <c r="O38" s="229"/>
      <c r="P38" s="229"/>
      <c r="Q38" s="229"/>
      <c r="R38" s="229"/>
      <c r="S38" s="229"/>
      <c r="T38" s="229"/>
      <c r="U38" s="229"/>
      <c r="V38" s="229"/>
      <c r="W38" s="229"/>
      <c r="X38" s="229"/>
      <c r="Y38" s="229"/>
      <c r="Z38" s="229"/>
      <c r="AA38" s="229"/>
      <c r="AB38" s="229"/>
      <c r="AC38" s="229"/>
      <c r="AD38" s="229"/>
      <c r="AE38" s="229"/>
      <c r="AF38" s="229"/>
      <c r="AG38" s="229"/>
      <c r="AH38" s="229"/>
      <c r="AI38" s="229"/>
      <c r="AJ38" s="229"/>
      <c r="AK38" s="229"/>
      <c r="AL38" s="229"/>
      <c r="AM38" s="229"/>
      <c r="AN38" s="229"/>
      <c r="AO38" s="229"/>
      <c r="AP38" s="229"/>
      <c r="AQ38" s="229"/>
      <c r="AR38" s="229"/>
      <c r="AS38" s="229"/>
      <c r="AT38" s="230"/>
    </row>
    <row r="39" spans="2:46" ht="6" customHeight="1">
      <c r="B39" s="185"/>
      <c r="AT39" s="176"/>
    </row>
    <row r="40" spans="2:46" ht="16.5" hidden="1" customHeight="1">
      <c r="B40" s="194" t="s">
        <v>322</v>
      </c>
      <c r="AT40" s="176"/>
    </row>
    <row r="41" spans="2:46" ht="2.25" hidden="1" customHeight="1" thickBot="1">
      <c r="B41" s="185"/>
      <c r="AT41" s="176"/>
    </row>
    <row r="42" spans="2:46" ht="6" hidden="1" customHeight="1">
      <c r="B42" s="231"/>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4"/>
    </row>
    <row r="43" spans="2:46" ht="13.5" hidden="1" customHeight="1">
      <c r="B43" s="185"/>
      <c r="C43" s="232" t="s">
        <v>323</v>
      </c>
      <c r="AT43" s="176"/>
    </row>
    <row r="44" spans="2:46" ht="16.5" hidden="1" customHeight="1">
      <c r="B44" s="185"/>
      <c r="AF44" s="480" t="s">
        <v>324</v>
      </c>
      <c r="AG44" s="481"/>
      <c r="AH44" s="481"/>
      <c r="AI44" s="482"/>
      <c r="AJ44" s="196"/>
      <c r="AK44" s="196"/>
      <c r="AL44" s="479" t="s">
        <v>325</v>
      </c>
      <c r="AM44" s="479"/>
      <c r="AN44" s="479"/>
      <c r="AO44" s="479"/>
      <c r="AP44" s="479"/>
      <c r="AQ44" s="196"/>
      <c r="AR44" s="196"/>
      <c r="AS44" s="196"/>
      <c r="AT44" s="176"/>
    </row>
    <row r="45" spans="2:46" ht="16.5" hidden="1" customHeight="1">
      <c r="B45" s="185"/>
      <c r="C45" s="198" t="s">
        <v>326</v>
      </c>
      <c r="D45" s="192"/>
      <c r="E45" s="192"/>
      <c r="F45" s="192"/>
      <c r="G45" s="192"/>
      <c r="H45" s="192"/>
      <c r="I45" s="192"/>
      <c r="J45" s="192"/>
      <c r="K45" s="192"/>
      <c r="L45" s="192"/>
      <c r="M45" s="192"/>
      <c r="N45" s="192"/>
      <c r="O45" s="192"/>
      <c r="P45" s="192"/>
      <c r="Q45" s="192"/>
      <c r="R45" s="192"/>
      <c r="S45" s="192"/>
      <c r="T45" s="192"/>
      <c r="U45" s="192"/>
      <c r="V45" s="192"/>
      <c r="W45" s="199"/>
      <c r="X45" s="483" t="str">
        <f>'[2]080807-IAF'!$I$103</f>
        <v>Transferor BU</v>
      </c>
      <c r="Y45" s="484"/>
      <c r="Z45" s="484"/>
      <c r="AA45" s="485"/>
      <c r="AB45" s="483" t="str">
        <f>'[2]080807-IAF'!$J$103</f>
        <v>Budget Code</v>
      </c>
      <c r="AC45" s="484"/>
      <c r="AD45" s="484"/>
      <c r="AE45" s="485"/>
      <c r="AF45" s="483" t="str">
        <f>'[2]080807-IAF'!$K$103</f>
        <v>Amount</v>
      </c>
      <c r="AG45" s="484"/>
      <c r="AH45" s="484"/>
      <c r="AI45" s="485"/>
      <c r="AJ45" s="196"/>
      <c r="AK45" s="196"/>
      <c r="AL45" s="233"/>
      <c r="AM45" s="234"/>
      <c r="AN45" s="234"/>
      <c r="AO45" s="212"/>
      <c r="AP45" s="235"/>
      <c r="AQ45" s="196"/>
      <c r="AR45" s="196"/>
      <c r="AS45" s="196"/>
      <c r="AT45" s="176"/>
    </row>
    <row r="46" spans="2:46" ht="18.75" hidden="1" customHeight="1">
      <c r="B46" s="185"/>
      <c r="C46" s="464" t="s">
        <v>327</v>
      </c>
      <c r="D46" s="465"/>
      <c r="E46" s="465"/>
      <c r="F46" s="465"/>
      <c r="G46" s="465"/>
      <c r="H46" s="465"/>
      <c r="I46" s="465"/>
      <c r="J46" s="465"/>
      <c r="K46" s="465"/>
      <c r="L46" s="465"/>
      <c r="M46" s="465"/>
      <c r="N46" s="465"/>
      <c r="O46" s="465"/>
      <c r="P46" s="465"/>
      <c r="Q46" s="465"/>
      <c r="R46" s="465"/>
      <c r="S46" s="465"/>
      <c r="T46" s="465"/>
      <c r="U46" s="465"/>
      <c r="V46" s="465"/>
      <c r="W46" s="466"/>
      <c r="X46" s="467"/>
      <c r="Y46" s="468"/>
      <c r="Z46" s="468"/>
      <c r="AA46" s="469"/>
      <c r="AB46" s="467"/>
      <c r="AC46" s="468"/>
      <c r="AD46" s="468"/>
      <c r="AE46" s="469"/>
      <c r="AF46" s="473"/>
      <c r="AG46" s="474"/>
      <c r="AH46" s="474"/>
      <c r="AI46" s="475"/>
      <c r="AJ46" s="236"/>
      <c r="AK46" s="237"/>
      <c r="AL46" s="238"/>
      <c r="AM46" s="239"/>
      <c r="AN46" s="239"/>
      <c r="AO46" s="240"/>
      <c r="AP46" s="241"/>
      <c r="AQ46" s="237"/>
      <c r="AR46" s="237"/>
      <c r="AS46" s="237"/>
      <c r="AT46" s="176"/>
    </row>
    <row r="47" spans="2:46" ht="18.75" hidden="1" customHeight="1">
      <c r="B47" s="185"/>
      <c r="C47" s="242"/>
      <c r="D47" s="243"/>
      <c r="E47" s="243"/>
      <c r="F47" s="243"/>
      <c r="G47" s="243"/>
      <c r="H47" s="243"/>
      <c r="I47" s="243"/>
      <c r="J47" s="243"/>
      <c r="K47" s="243"/>
      <c r="L47" s="243"/>
      <c r="M47" s="243"/>
      <c r="N47" s="243"/>
      <c r="O47" s="243"/>
      <c r="P47" s="243"/>
      <c r="Q47" s="243"/>
      <c r="R47" s="243"/>
      <c r="S47" s="243"/>
      <c r="T47" s="243"/>
      <c r="U47" s="243"/>
      <c r="V47" s="243"/>
      <c r="W47" s="244"/>
      <c r="X47" s="470"/>
      <c r="Y47" s="471"/>
      <c r="Z47" s="471"/>
      <c r="AA47" s="472"/>
      <c r="AB47" s="470"/>
      <c r="AC47" s="471"/>
      <c r="AD47" s="471"/>
      <c r="AE47" s="472"/>
      <c r="AF47" s="476"/>
      <c r="AG47" s="477"/>
      <c r="AH47" s="477"/>
      <c r="AI47" s="478"/>
      <c r="AJ47" s="236"/>
      <c r="AK47" s="237"/>
      <c r="AL47" s="459" t="s">
        <v>328</v>
      </c>
      <c r="AM47" s="460"/>
      <c r="AN47" s="460"/>
      <c r="AO47" s="460"/>
      <c r="AP47" s="461"/>
      <c r="AQ47" s="237"/>
      <c r="AR47" s="237"/>
      <c r="AS47" s="237"/>
      <c r="AT47" s="176"/>
    </row>
    <row r="48" spans="2:46" ht="18.75" hidden="1" customHeight="1">
      <c r="B48" s="185"/>
      <c r="C48" s="464" t="s">
        <v>329</v>
      </c>
      <c r="D48" s="465"/>
      <c r="E48" s="465"/>
      <c r="F48" s="465"/>
      <c r="G48" s="465"/>
      <c r="H48" s="465"/>
      <c r="I48" s="465"/>
      <c r="J48" s="465"/>
      <c r="K48" s="465"/>
      <c r="L48" s="465"/>
      <c r="M48" s="465"/>
      <c r="N48" s="465"/>
      <c r="O48" s="465"/>
      <c r="P48" s="465"/>
      <c r="Q48" s="465"/>
      <c r="R48" s="465"/>
      <c r="S48" s="465"/>
      <c r="T48" s="465"/>
      <c r="U48" s="465"/>
      <c r="V48" s="465"/>
      <c r="W48" s="466"/>
      <c r="X48" s="467"/>
      <c r="Y48" s="468"/>
      <c r="Z48" s="468"/>
      <c r="AA48" s="469"/>
      <c r="AB48" s="467"/>
      <c r="AC48" s="468"/>
      <c r="AD48" s="468"/>
      <c r="AE48" s="469"/>
      <c r="AF48" s="473"/>
      <c r="AG48" s="474"/>
      <c r="AH48" s="474"/>
      <c r="AI48" s="475"/>
      <c r="AJ48" s="236"/>
      <c r="AK48" s="237"/>
      <c r="AL48" s="237"/>
      <c r="AM48" s="237"/>
      <c r="AN48" s="237"/>
      <c r="AT48" s="176"/>
    </row>
    <row r="49" spans="2:46" ht="18.75" hidden="1" customHeight="1">
      <c r="B49" s="185"/>
      <c r="C49" s="242"/>
      <c r="D49" s="243"/>
      <c r="E49" s="243"/>
      <c r="F49" s="243"/>
      <c r="G49" s="243"/>
      <c r="H49" s="243"/>
      <c r="I49" s="243"/>
      <c r="J49" s="243"/>
      <c r="K49" s="243"/>
      <c r="L49" s="243"/>
      <c r="M49" s="243"/>
      <c r="N49" s="243"/>
      <c r="O49" s="243"/>
      <c r="P49" s="243"/>
      <c r="Q49" s="243"/>
      <c r="R49" s="243"/>
      <c r="S49" s="243"/>
      <c r="T49" s="243"/>
      <c r="U49" s="243"/>
      <c r="V49" s="243"/>
      <c r="W49" s="244"/>
      <c r="X49" s="470"/>
      <c r="Y49" s="471"/>
      <c r="Z49" s="471"/>
      <c r="AA49" s="472"/>
      <c r="AB49" s="470"/>
      <c r="AC49" s="471"/>
      <c r="AD49" s="471"/>
      <c r="AE49" s="472"/>
      <c r="AF49" s="476"/>
      <c r="AG49" s="477"/>
      <c r="AH49" s="477"/>
      <c r="AI49" s="478"/>
      <c r="AJ49" s="236"/>
      <c r="AK49" s="237"/>
      <c r="AL49" s="479" t="s">
        <v>330</v>
      </c>
      <c r="AM49" s="479"/>
      <c r="AN49" s="479"/>
      <c r="AO49" s="479"/>
      <c r="AP49" s="479"/>
      <c r="AT49" s="176"/>
    </row>
    <row r="50" spans="2:46" ht="18.75" hidden="1" customHeight="1">
      <c r="B50" s="185"/>
      <c r="C50" s="464" t="s">
        <v>331</v>
      </c>
      <c r="D50" s="465"/>
      <c r="E50" s="465"/>
      <c r="F50" s="465"/>
      <c r="G50" s="465"/>
      <c r="H50" s="465"/>
      <c r="I50" s="465"/>
      <c r="J50" s="465"/>
      <c r="K50" s="465"/>
      <c r="L50" s="465"/>
      <c r="M50" s="465"/>
      <c r="N50" s="465"/>
      <c r="O50" s="465"/>
      <c r="P50" s="465"/>
      <c r="Q50" s="465"/>
      <c r="R50" s="465"/>
      <c r="S50" s="465"/>
      <c r="T50" s="465"/>
      <c r="U50" s="465"/>
      <c r="V50" s="465"/>
      <c r="W50" s="466"/>
      <c r="X50" s="467"/>
      <c r="Y50" s="468"/>
      <c r="Z50" s="468"/>
      <c r="AA50" s="469"/>
      <c r="AB50" s="467"/>
      <c r="AC50" s="468"/>
      <c r="AD50" s="468"/>
      <c r="AE50" s="469"/>
      <c r="AF50" s="473"/>
      <c r="AG50" s="474"/>
      <c r="AH50" s="474"/>
      <c r="AI50" s="475"/>
      <c r="AJ50" s="236"/>
      <c r="AK50" s="237"/>
      <c r="AL50" s="233"/>
      <c r="AM50" s="234"/>
      <c r="AN50" s="234"/>
      <c r="AO50" s="212"/>
      <c r="AP50" s="235"/>
      <c r="AT50" s="176"/>
    </row>
    <row r="51" spans="2:46" ht="18.75" hidden="1" customHeight="1">
      <c r="B51" s="185"/>
      <c r="C51" s="242"/>
      <c r="D51" s="243"/>
      <c r="E51" s="243"/>
      <c r="F51" s="243"/>
      <c r="G51" s="243"/>
      <c r="H51" s="243"/>
      <c r="I51" s="243"/>
      <c r="J51" s="243"/>
      <c r="K51" s="243"/>
      <c r="L51" s="243"/>
      <c r="M51" s="243"/>
      <c r="N51" s="243"/>
      <c r="O51" s="243"/>
      <c r="P51" s="243"/>
      <c r="Q51" s="243"/>
      <c r="R51" s="243"/>
      <c r="S51" s="243"/>
      <c r="T51" s="243"/>
      <c r="U51" s="243"/>
      <c r="V51" s="243"/>
      <c r="W51" s="244"/>
      <c r="X51" s="470"/>
      <c r="Y51" s="471"/>
      <c r="Z51" s="471"/>
      <c r="AA51" s="472"/>
      <c r="AB51" s="470"/>
      <c r="AC51" s="471"/>
      <c r="AD51" s="471"/>
      <c r="AE51" s="472"/>
      <c r="AF51" s="476"/>
      <c r="AG51" s="477"/>
      <c r="AH51" s="477"/>
      <c r="AI51" s="478"/>
      <c r="AJ51" s="236"/>
      <c r="AK51" s="237"/>
      <c r="AL51" s="238"/>
      <c r="AM51" s="239"/>
      <c r="AN51" s="239"/>
      <c r="AO51" s="240"/>
      <c r="AP51" s="241"/>
      <c r="AT51" s="176"/>
    </row>
    <row r="52" spans="2:46" ht="15" hidden="1" customHeight="1">
      <c r="B52" s="185"/>
      <c r="X52" s="453" t="s">
        <v>332</v>
      </c>
      <c r="Y52" s="454"/>
      <c r="Z52" s="454"/>
      <c r="AA52" s="454"/>
      <c r="AB52" s="454"/>
      <c r="AC52" s="454"/>
      <c r="AD52" s="454"/>
      <c r="AE52" s="455"/>
      <c r="AF52" s="456">
        <f>SUM(AF46:AI51)</f>
        <v>0</v>
      </c>
      <c r="AG52" s="457"/>
      <c r="AH52" s="457"/>
      <c r="AI52" s="458"/>
      <c r="AL52" s="459" t="s">
        <v>333</v>
      </c>
      <c r="AM52" s="460"/>
      <c r="AN52" s="460"/>
      <c r="AO52" s="460"/>
      <c r="AP52" s="461"/>
      <c r="AT52" s="176"/>
    </row>
    <row r="53" spans="2:46" ht="6" hidden="1" customHeight="1" thickBot="1">
      <c r="B53" s="222"/>
      <c r="C53" s="223"/>
      <c r="D53" s="223"/>
      <c r="E53" s="223"/>
      <c r="F53" s="223"/>
      <c r="G53" s="223"/>
      <c r="H53" s="223"/>
      <c r="I53" s="223"/>
      <c r="J53" s="223"/>
      <c r="K53" s="223"/>
      <c r="L53" s="223"/>
      <c r="M53" s="223"/>
      <c r="N53" s="223"/>
      <c r="O53" s="223"/>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4"/>
    </row>
    <row r="54" spans="2:46" ht="6" customHeight="1">
      <c r="B54" s="185"/>
      <c r="AT54" s="176"/>
    </row>
    <row r="55" spans="2:46" ht="2.25" customHeight="1" thickBot="1">
      <c r="B55" s="185"/>
      <c r="AT55" s="176"/>
    </row>
    <row r="56" spans="2:46" ht="16.5" customHeight="1">
      <c r="B56" s="231"/>
      <c r="C56" s="462" t="s">
        <v>334</v>
      </c>
      <c r="D56" s="462"/>
      <c r="E56" s="462"/>
      <c r="F56" s="462"/>
      <c r="G56" s="462"/>
      <c r="H56" s="462"/>
      <c r="I56" s="462"/>
      <c r="J56" s="462"/>
      <c r="K56" s="462"/>
      <c r="L56" s="462"/>
      <c r="M56" s="462"/>
      <c r="N56" s="462"/>
      <c r="O56" s="462"/>
      <c r="P56" s="462"/>
      <c r="Q56" s="462"/>
      <c r="R56" s="462"/>
      <c r="S56" s="462"/>
      <c r="T56" s="462"/>
      <c r="U56" s="462"/>
      <c r="V56" s="462"/>
      <c r="W56" s="462"/>
      <c r="X56" s="462"/>
      <c r="Y56" s="462"/>
      <c r="Z56" s="462"/>
      <c r="AA56" s="462"/>
      <c r="AB56" s="462"/>
      <c r="AC56" s="462"/>
      <c r="AD56" s="462"/>
      <c r="AE56" s="462"/>
      <c r="AF56" s="462"/>
      <c r="AG56" s="462"/>
      <c r="AH56" s="462"/>
      <c r="AI56" s="462"/>
      <c r="AJ56" s="462"/>
      <c r="AK56" s="462"/>
      <c r="AL56" s="462"/>
      <c r="AM56" s="462"/>
      <c r="AN56" s="462"/>
      <c r="AO56" s="462"/>
      <c r="AP56" s="462"/>
      <c r="AQ56" s="462"/>
      <c r="AR56" s="462"/>
      <c r="AS56" s="172"/>
      <c r="AT56" s="174"/>
    </row>
    <row r="57" spans="2:46" ht="16.5" customHeight="1">
      <c r="B57" s="185"/>
      <c r="C57" s="245"/>
      <c r="D57" s="245"/>
      <c r="E57" s="245"/>
      <c r="F57" s="245"/>
      <c r="G57" s="245"/>
      <c r="H57" s="245"/>
      <c r="I57" s="245"/>
      <c r="J57" s="245"/>
      <c r="K57" s="245"/>
      <c r="L57" s="245"/>
      <c r="M57" s="245"/>
      <c r="N57" s="245"/>
      <c r="O57" s="245"/>
      <c r="P57" s="245"/>
      <c r="Q57" s="245"/>
      <c r="R57" s="245"/>
      <c r="S57" s="245"/>
      <c r="T57" s="245"/>
      <c r="U57" s="245"/>
      <c r="V57" s="245"/>
      <c r="W57" s="245"/>
      <c r="X57" s="245"/>
      <c r="Y57" s="245"/>
      <c r="Z57" s="245"/>
      <c r="AA57" s="245"/>
      <c r="AB57" s="245"/>
      <c r="AC57" s="245"/>
      <c r="AD57" s="245"/>
      <c r="AE57" s="245"/>
      <c r="AF57" s="245"/>
      <c r="AG57" s="245"/>
      <c r="AH57" s="245"/>
      <c r="AI57" s="245"/>
      <c r="AJ57" s="245"/>
      <c r="AK57" s="245"/>
      <c r="AL57" s="245"/>
      <c r="AM57" s="245"/>
      <c r="AN57" s="245"/>
      <c r="AO57" s="245"/>
      <c r="AP57" s="245"/>
      <c r="AQ57" s="245"/>
      <c r="AR57" s="245"/>
      <c r="AT57" s="176"/>
    </row>
    <row r="58" spans="2:46" ht="16.5" customHeight="1">
      <c r="B58" s="185"/>
      <c r="C58" s="245"/>
      <c r="D58" s="245"/>
      <c r="E58" s="245"/>
      <c r="F58" s="245"/>
      <c r="G58" s="245"/>
      <c r="H58" s="245"/>
      <c r="I58" s="245"/>
      <c r="J58" s="245"/>
      <c r="K58" s="245"/>
      <c r="L58" s="245"/>
      <c r="M58" s="245"/>
      <c r="N58" s="245"/>
      <c r="O58" s="245"/>
      <c r="P58" s="245"/>
      <c r="Q58" s="245"/>
      <c r="R58" s="245"/>
      <c r="S58" s="245"/>
      <c r="T58" s="245"/>
      <c r="U58" s="245"/>
      <c r="V58" s="245"/>
      <c r="W58" s="245"/>
      <c r="X58" s="245"/>
      <c r="Y58" s="245"/>
      <c r="Z58" s="245"/>
      <c r="AA58" s="245"/>
      <c r="AB58" s="245"/>
      <c r="AC58" s="245"/>
      <c r="AD58" s="245"/>
      <c r="AE58" s="245"/>
      <c r="AF58" s="245"/>
      <c r="AG58" s="245"/>
      <c r="AH58" s="245"/>
      <c r="AI58" s="245"/>
      <c r="AJ58" s="245"/>
      <c r="AK58" s="245"/>
      <c r="AL58" s="245"/>
      <c r="AM58" s="245"/>
      <c r="AN58" s="245"/>
      <c r="AO58" s="245"/>
      <c r="AP58" s="245"/>
      <c r="AQ58" s="245"/>
      <c r="AR58" s="245"/>
      <c r="AT58" s="176"/>
    </row>
    <row r="59" spans="2:46" ht="16.5" customHeight="1" thickBot="1">
      <c r="B59" s="222"/>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c r="AA59" s="223"/>
      <c r="AB59" s="223"/>
      <c r="AC59" s="223"/>
      <c r="AD59" s="223"/>
      <c r="AE59" s="223"/>
      <c r="AF59" s="223"/>
      <c r="AG59" s="223"/>
      <c r="AH59" s="223"/>
      <c r="AI59" s="223"/>
      <c r="AJ59" s="223"/>
      <c r="AK59" s="223"/>
      <c r="AL59" s="223"/>
      <c r="AM59" s="223"/>
      <c r="AN59" s="223"/>
      <c r="AO59" s="223"/>
      <c r="AP59" s="223"/>
      <c r="AQ59" s="223"/>
      <c r="AR59" s="223"/>
      <c r="AS59" s="223"/>
      <c r="AT59" s="224"/>
    </row>
    <row r="60" spans="2:46" ht="16.5" customHeight="1">
      <c r="B60" s="180" t="s">
        <v>335</v>
      </c>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4"/>
    </row>
    <row r="61" spans="2:46" ht="2.25" customHeight="1" thickBot="1">
      <c r="B61" s="185"/>
      <c r="AT61" s="176"/>
    </row>
    <row r="62" spans="2:46" ht="16.5" customHeight="1">
      <c r="B62" s="231"/>
      <c r="C62" s="462" t="s">
        <v>336</v>
      </c>
      <c r="D62" s="462"/>
      <c r="E62" s="462"/>
      <c r="F62" s="462"/>
      <c r="G62" s="462"/>
      <c r="H62" s="462"/>
      <c r="I62" s="462"/>
      <c r="J62" s="462"/>
      <c r="K62" s="462"/>
      <c r="L62" s="462"/>
      <c r="M62" s="462"/>
      <c r="N62" s="462"/>
      <c r="O62" s="462"/>
      <c r="P62" s="462"/>
      <c r="Q62" s="462"/>
      <c r="R62" s="462"/>
      <c r="S62" s="462"/>
      <c r="T62" s="462"/>
      <c r="U62" s="462"/>
      <c r="V62" s="462"/>
      <c r="W62" s="462"/>
      <c r="X62" s="462"/>
      <c r="Y62" s="462"/>
      <c r="Z62" s="462"/>
      <c r="AA62" s="462"/>
      <c r="AB62" s="462"/>
      <c r="AC62" s="462"/>
      <c r="AD62" s="462"/>
      <c r="AE62" s="462"/>
      <c r="AF62" s="462"/>
      <c r="AG62" s="462"/>
      <c r="AH62" s="462"/>
      <c r="AI62" s="462"/>
      <c r="AJ62" s="462"/>
      <c r="AK62" s="462"/>
      <c r="AL62" s="462"/>
      <c r="AM62" s="462"/>
      <c r="AN62" s="462"/>
      <c r="AO62" s="462"/>
      <c r="AP62" s="462"/>
      <c r="AQ62" s="462"/>
      <c r="AR62" s="462"/>
      <c r="AS62" s="246"/>
      <c r="AT62" s="247"/>
    </row>
    <row r="63" spans="2:46" ht="16.5" customHeight="1">
      <c r="B63" s="185"/>
      <c r="F63" s="196">
        <v>1</v>
      </c>
      <c r="G63" s="170" t="s">
        <v>337</v>
      </c>
      <c r="M63" s="248" t="s">
        <v>338</v>
      </c>
      <c r="O63" s="170" t="s">
        <v>339</v>
      </c>
      <c r="AT63" s="176"/>
    </row>
    <row r="64" spans="2:46" ht="16.5" customHeight="1">
      <c r="B64" s="185"/>
      <c r="F64" s="196">
        <v>2</v>
      </c>
      <c r="G64" s="170" t="s">
        <v>340</v>
      </c>
      <c r="M64" s="248" t="s">
        <v>338</v>
      </c>
      <c r="O64" s="170" t="s">
        <v>339</v>
      </c>
      <c r="P64" s="232" t="s">
        <v>341</v>
      </c>
      <c r="T64" s="240"/>
      <c r="U64" s="240"/>
      <c r="V64" s="240"/>
      <c r="W64" s="240"/>
      <c r="X64" s="240"/>
      <c r="Y64" s="240"/>
      <c r="Z64" s="240"/>
      <c r="AA64" s="240"/>
      <c r="AB64" s="240"/>
      <c r="AC64" s="240"/>
      <c r="AD64" s="240"/>
      <c r="AE64" s="240"/>
      <c r="AF64" s="240"/>
      <c r="AG64" s="240"/>
      <c r="AH64" s="240"/>
      <c r="AI64" s="240"/>
      <c r="AJ64" s="240"/>
      <c r="AK64" s="240"/>
      <c r="AL64" s="240"/>
      <c r="AM64" s="240"/>
      <c r="AN64" s="240"/>
      <c r="AO64" s="240"/>
      <c r="AP64" s="240"/>
      <c r="AQ64" s="240"/>
      <c r="AR64" s="240"/>
      <c r="AT64" s="176"/>
    </row>
    <row r="65" spans="2:46" ht="16.5" customHeight="1">
      <c r="B65" s="185"/>
      <c r="F65" s="196"/>
      <c r="H65" s="249" t="s">
        <v>342</v>
      </c>
      <c r="I65" s="170" t="s">
        <v>343</v>
      </c>
      <c r="M65" s="248" t="s">
        <v>338</v>
      </c>
      <c r="N65" s="250" t="s">
        <v>344</v>
      </c>
      <c r="O65" s="170" t="s">
        <v>339</v>
      </c>
      <c r="P65" s="251" t="s">
        <v>345</v>
      </c>
      <c r="T65" s="240"/>
      <c r="U65" s="240"/>
      <c r="V65" s="240"/>
      <c r="W65" s="240"/>
      <c r="X65" s="240"/>
      <c r="Y65" s="240"/>
      <c r="Z65" s="240"/>
      <c r="AA65" s="240"/>
      <c r="AB65" s="240"/>
      <c r="AC65" s="240"/>
      <c r="AD65" s="240"/>
      <c r="AE65" s="240"/>
      <c r="AF65" s="240"/>
      <c r="AG65" s="240"/>
      <c r="AH65" s="240"/>
      <c r="AI65" s="240"/>
      <c r="AJ65" s="240"/>
      <c r="AK65" s="240"/>
      <c r="AL65" s="240"/>
      <c r="AM65" s="240"/>
      <c r="AN65" s="240"/>
      <c r="AO65" s="240"/>
      <c r="AP65" s="240"/>
      <c r="AQ65" s="240"/>
      <c r="AR65" s="240"/>
      <c r="AT65" s="176"/>
    </row>
    <row r="66" spans="2:46" ht="16.5" customHeight="1">
      <c r="B66" s="185"/>
      <c r="F66" s="196">
        <v>3</v>
      </c>
      <c r="G66" s="170" t="s">
        <v>346</v>
      </c>
      <c r="M66" s="248" t="s">
        <v>338</v>
      </c>
      <c r="O66" s="170" t="s">
        <v>339</v>
      </c>
      <c r="P66" s="232"/>
      <c r="T66" s="240"/>
      <c r="U66" s="240"/>
      <c r="V66" s="240"/>
      <c r="W66" s="240"/>
      <c r="X66" s="240"/>
      <c r="Y66" s="240"/>
      <c r="Z66" s="240"/>
      <c r="AA66" s="240"/>
      <c r="AB66" s="240"/>
      <c r="AC66" s="240"/>
      <c r="AD66" s="240"/>
      <c r="AE66" s="240"/>
      <c r="AF66" s="240"/>
      <c r="AG66" s="240"/>
      <c r="AH66" s="240"/>
      <c r="AI66" s="240"/>
      <c r="AJ66" s="240"/>
      <c r="AK66" s="240"/>
      <c r="AL66" s="240"/>
      <c r="AM66" s="240"/>
      <c r="AN66" s="240"/>
      <c r="AO66" s="240"/>
      <c r="AP66" s="240"/>
      <c r="AQ66" s="240"/>
      <c r="AR66" s="240"/>
      <c r="AT66" s="176"/>
    </row>
    <row r="67" spans="2:46" ht="16.5" customHeight="1">
      <c r="B67" s="185"/>
      <c r="F67" s="196">
        <v>4</v>
      </c>
      <c r="G67" s="170" t="s">
        <v>347</v>
      </c>
      <c r="M67" s="248" t="s">
        <v>338</v>
      </c>
      <c r="O67" s="170" t="s">
        <v>339</v>
      </c>
      <c r="P67" s="251"/>
      <c r="T67" s="240"/>
      <c r="U67" s="240"/>
      <c r="V67" s="240"/>
      <c r="W67" s="240"/>
      <c r="X67" s="240"/>
      <c r="Y67" s="240"/>
      <c r="Z67" s="240"/>
      <c r="AA67" s="240"/>
      <c r="AB67" s="240"/>
      <c r="AC67" s="240"/>
      <c r="AD67" s="240"/>
      <c r="AE67" s="240"/>
      <c r="AF67" s="240"/>
      <c r="AG67" s="240"/>
      <c r="AH67" s="240"/>
      <c r="AI67" s="240"/>
      <c r="AJ67" s="240"/>
      <c r="AK67" s="240"/>
      <c r="AL67" s="240"/>
      <c r="AM67" s="240"/>
      <c r="AN67" s="240"/>
      <c r="AO67" s="240"/>
      <c r="AP67" s="240"/>
      <c r="AQ67" s="240"/>
      <c r="AR67" s="240"/>
      <c r="AT67" s="176"/>
    </row>
    <row r="68" spans="2:46" ht="6" customHeight="1" thickBot="1">
      <c r="B68" s="185"/>
      <c r="AT68" s="176"/>
    </row>
    <row r="69" spans="2:46" s="191" customFormat="1" ht="14.25" thickBot="1">
      <c r="B69" s="252"/>
      <c r="C69" s="252"/>
      <c r="D69" s="252"/>
      <c r="E69" s="252"/>
      <c r="F69" s="252"/>
      <c r="G69" s="252"/>
      <c r="H69" s="252"/>
      <c r="I69" s="252"/>
      <c r="J69" s="252"/>
      <c r="K69" s="252"/>
      <c r="L69" s="252"/>
      <c r="M69" s="252"/>
      <c r="N69" s="252"/>
      <c r="O69" s="253"/>
      <c r="P69" s="253"/>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row>
    <row r="70" spans="2:46" s="191" customFormat="1" ht="18.75">
      <c r="B70" s="254" t="s">
        <v>348</v>
      </c>
      <c r="C70" s="252"/>
      <c r="D70" s="252"/>
      <c r="E70" s="252"/>
      <c r="F70" s="252"/>
      <c r="G70" s="252"/>
      <c r="H70" s="252"/>
      <c r="I70" s="252"/>
      <c r="J70" s="252"/>
      <c r="K70" s="252"/>
      <c r="L70" s="252"/>
      <c r="M70" s="252"/>
      <c r="N70" s="252"/>
      <c r="O70" s="253"/>
      <c r="P70" s="253"/>
      <c r="Q70" s="253"/>
      <c r="R70" s="253"/>
      <c r="S70" s="253"/>
      <c r="T70" s="253"/>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5"/>
    </row>
    <row r="71" spans="2:46" ht="15.75">
      <c r="B71" s="185"/>
      <c r="C71" s="463"/>
      <c r="D71" s="463"/>
      <c r="E71" s="463"/>
      <c r="F71" s="463"/>
      <c r="G71" s="463"/>
      <c r="H71" s="463"/>
      <c r="I71" s="463"/>
      <c r="J71" s="463"/>
      <c r="K71" s="463"/>
      <c r="L71" s="463"/>
      <c r="M71" s="256"/>
      <c r="N71" s="256"/>
      <c r="O71" s="256"/>
      <c r="P71" s="445" t="s">
        <v>217</v>
      </c>
      <c r="Q71" s="446"/>
      <c r="R71" s="446"/>
      <c r="S71" s="446"/>
      <c r="T71" s="446"/>
      <c r="U71" s="446"/>
      <c r="V71" s="446"/>
      <c r="W71" s="446"/>
      <c r="X71" s="446"/>
      <c r="Y71" s="447"/>
      <c r="Z71" s="256"/>
      <c r="AA71" s="257"/>
      <c r="AB71" s="258"/>
      <c r="AC71" s="258"/>
      <c r="AD71" s="258"/>
      <c r="AE71" s="445" t="s">
        <v>349</v>
      </c>
      <c r="AF71" s="446"/>
      <c r="AG71" s="446"/>
      <c r="AH71" s="446"/>
      <c r="AI71" s="446"/>
      <c r="AJ71" s="446"/>
      <c r="AK71" s="446"/>
      <c r="AL71" s="446"/>
      <c r="AM71" s="446"/>
      <c r="AN71" s="446"/>
      <c r="AO71" s="446"/>
      <c r="AP71" s="446"/>
      <c r="AQ71" s="446"/>
      <c r="AR71" s="447"/>
      <c r="AS71" s="259"/>
      <c r="AT71" s="260"/>
    </row>
    <row r="72" spans="2:46" ht="16.5" customHeight="1">
      <c r="B72" s="185"/>
      <c r="C72" s="451"/>
      <c r="D72" s="451"/>
      <c r="E72" s="451"/>
      <c r="F72" s="451"/>
      <c r="G72" s="451"/>
      <c r="H72" s="451"/>
      <c r="I72" s="451"/>
      <c r="J72" s="451"/>
      <c r="K72" s="451"/>
      <c r="L72" s="451"/>
      <c r="M72" s="261"/>
      <c r="N72" s="261"/>
      <c r="O72" s="262"/>
      <c r="P72" s="448" t="s">
        <v>350</v>
      </c>
      <c r="Q72" s="449"/>
      <c r="R72" s="449"/>
      <c r="S72" s="449"/>
      <c r="T72" s="449"/>
      <c r="U72" s="448" t="s">
        <v>351</v>
      </c>
      <c r="V72" s="449"/>
      <c r="W72" s="449"/>
      <c r="X72" s="449"/>
      <c r="Y72" s="450"/>
      <c r="Z72" s="256"/>
      <c r="AA72" s="257"/>
      <c r="AB72" s="257"/>
      <c r="AC72" s="263"/>
      <c r="AD72" s="263"/>
      <c r="AE72" s="445" t="s">
        <v>352</v>
      </c>
      <c r="AF72" s="446"/>
      <c r="AG72" s="446"/>
      <c r="AH72" s="446"/>
      <c r="AI72" s="446"/>
      <c r="AJ72" s="446"/>
      <c r="AK72" s="447"/>
      <c r="AL72" s="446" t="s">
        <v>350</v>
      </c>
      <c r="AM72" s="446"/>
      <c r="AN72" s="446"/>
      <c r="AO72" s="446"/>
      <c r="AP72" s="446"/>
      <c r="AQ72" s="446"/>
      <c r="AR72" s="447"/>
      <c r="AS72" s="259"/>
      <c r="AT72" s="260"/>
    </row>
    <row r="73" spans="2:46" ht="13.5" customHeight="1">
      <c r="B73" s="185"/>
      <c r="C73" s="452"/>
      <c r="D73" s="452"/>
      <c r="E73" s="452"/>
      <c r="F73" s="452"/>
      <c r="G73" s="452"/>
      <c r="H73" s="452"/>
      <c r="I73" s="452"/>
      <c r="J73" s="452"/>
      <c r="K73" s="452"/>
      <c r="L73" s="452"/>
      <c r="M73" s="452"/>
      <c r="N73" s="452"/>
      <c r="O73" s="264"/>
      <c r="P73" s="265"/>
      <c r="Q73" s="264"/>
      <c r="R73" s="266"/>
      <c r="S73" s="266"/>
      <c r="T73" s="266"/>
      <c r="U73" s="267"/>
      <c r="V73" s="266"/>
      <c r="W73" s="266"/>
      <c r="X73" s="268"/>
      <c r="Y73" s="269"/>
      <c r="Z73" s="266"/>
      <c r="AA73" s="268"/>
      <c r="AB73" s="437" t="s">
        <v>353</v>
      </c>
      <c r="AC73" s="437"/>
      <c r="AD73" s="264"/>
      <c r="AE73" s="438"/>
      <c r="AF73" s="439"/>
      <c r="AG73" s="439"/>
      <c r="AH73" s="439"/>
      <c r="AI73" s="439"/>
      <c r="AJ73" s="439"/>
      <c r="AK73" s="440"/>
      <c r="AL73" s="259"/>
      <c r="AM73" s="259"/>
      <c r="AN73" s="259"/>
      <c r="AO73" s="259"/>
      <c r="AP73" s="259"/>
      <c r="AQ73" s="259"/>
      <c r="AR73" s="270"/>
      <c r="AS73" s="259"/>
      <c r="AT73" s="260"/>
    </row>
    <row r="74" spans="2:46" ht="15.75">
      <c r="B74" s="185"/>
      <c r="C74" s="452"/>
      <c r="D74" s="452"/>
      <c r="E74" s="452"/>
      <c r="F74" s="452"/>
      <c r="G74" s="452"/>
      <c r="H74" s="452"/>
      <c r="I74" s="452"/>
      <c r="J74" s="452"/>
      <c r="K74" s="452"/>
      <c r="L74" s="452"/>
      <c r="M74" s="271"/>
      <c r="N74" s="271"/>
      <c r="O74" s="264"/>
      <c r="P74" s="272"/>
      <c r="Q74" s="273"/>
      <c r="R74" s="274"/>
      <c r="S74" s="274"/>
      <c r="T74" s="274"/>
      <c r="U74" s="275"/>
      <c r="V74" s="274"/>
      <c r="W74" s="274"/>
      <c r="X74" s="276"/>
      <c r="Y74" s="277"/>
      <c r="Z74" s="267"/>
      <c r="AA74" s="268"/>
      <c r="AB74" s="268"/>
      <c r="AC74" s="278"/>
      <c r="AD74" s="279"/>
      <c r="AE74" s="441"/>
      <c r="AF74" s="442"/>
      <c r="AG74" s="442"/>
      <c r="AH74" s="442"/>
      <c r="AI74" s="442"/>
      <c r="AJ74" s="442"/>
      <c r="AK74" s="443"/>
      <c r="AL74" s="280"/>
      <c r="AM74" s="280"/>
      <c r="AN74" s="280"/>
      <c r="AO74" s="280"/>
      <c r="AP74" s="280"/>
      <c r="AQ74" s="280"/>
      <c r="AR74" s="281"/>
      <c r="AS74" s="280"/>
      <c r="AT74" s="282"/>
    </row>
    <row r="75" spans="2:46" ht="14.25" thickBot="1">
      <c r="B75" s="222"/>
      <c r="C75" s="223"/>
      <c r="D75" s="223"/>
      <c r="E75" s="223"/>
      <c r="F75" s="223"/>
      <c r="G75" s="223"/>
      <c r="H75" s="223"/>
      <c r="I75" s="223"/>
      <c r="J75" s="223"/>
      <c r="K75" s="223"/>
      <c r="L75" s="223"/>
      <c r="M75" s="223"/>
      <c r="N75" s="223"/>
      <c r="O75" s="223"/>
      <c r="P75" s="223"/>
      <c r="Q75" s="223"/>
      <c r="R75" s="223"/>
      <c r="S75" s="223"/>
      <c r="T75" s="223"/>
      <c r="U75" s="223"/>
      <c r="V75" s="223" t="s">
        <v>217</v>
      </c>
      <c r="W75" s="223"/>
      <c r="X75" s="223"/>
      <c r="Y75" s="223"/>
      <c r="Z75" s="223"/>
      <c r="AA75" s="223"/>
      <c r="AB75" s="223"/>
      <c r="AC75" s="223" t="s">
        <v>353</v>
      </c>
      <c r="AD75" s="223"/>
      <c r="AE75" s="223"/>
      <c r="AF75" s="223"/>
      <c r="AG75" s="223"/>
      <c r="AH75" s="223"/>
      <c r="AI75" s="223"/>
      <c r="AJ75" s="223"/>
      <c r="AK75" s="223" t="s">
        <v>354</v>
      </c>
      <c r="AL75" s="223"/>
      <c r="AM75" s="223"/>
      <c r="AN75" s="223"/>
      <c r="AO75" s="223"/>
      <c r="AP75" s="223"/>
      <c r="AQ75" s="223"/>
      <c r="AR75" s="223"/>
      <c r="AS75" s="223"/>
      <c r="AT75" s="224"/>
    </row>
    <row r="76" spans="2:46" ht="14.25" thickBot="1"/>
    <row r="77" spans="2:46" s="191" customFormat="1" ht="18.75">
      <c r="B77" s="254" t="s">
        <v>355</v>
      </c>
      <c r="C77" s="252"/>
      <c r="D77" s="252"/>
      <c r="E77" s="252"/>
      <c r="F77" s="252"/>
      <c r="G77" s="252"/>
      <c r="H77" s="252"/>
      <c r="I77" s="252"/>
      <c r="J77" s="252"/>
      <c r="K77" s="252"/>
      <c r="L77" s="252"/>
      <c r="M77" s="252"/>
      <c r="N77" s="252"/>
      <c r="O77" s="253"/>
      <c r="P77" s="253"/>
      <c r="Q77" s="253"/>
      <c r="R77" s="253"/>
      <c r="S77" s="253"/>
      <c r="T77" s="253"/>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5"/>
    </row>
    <row r="78" spans="2:46" ht="15.75">
      <c r="B78" s="185"/>
      <c r="C78" s="445" t="s">
        <v>356</v>
      </c>
      <c r="D78" s="446"/>
      <c r="E78" s="446"/>
      <c r="F78" s="446"/>
      <c r="G78" s="446"/>
      <c r="H78" s="446"/>
      <c r="I78" s="446"/>
      <c r="J78" s="446"/>
      <c r="K78" s="446"/>
      <c r="L78" s="447"/>
      <c r="M78" s="258"/>
      <c r="N78" s="258"/>
      <c r="O78" s="256"/>
      <c r="P78" s="256"/>
      <c r="Q78" s="256"/>
      <c r="R78" s="256"/>
      <c r="S78" s="445" t="s">
        <v>217</v>
      </c>
      <c r="T78" s="446"/>
      <c r="U78" s="446"/>
      <c r="V78" s="446"/>
      <c r="W78" s="446"/>
      <c r="X78" s="446"/>
      <c r="Y78" s="446"/>
      <c r="Z78" s="446"/>
      <c r="AA78" s="446"/>
      <c r="AB78" s="447"/>
      <c r="AC78" s="258"/>
      <c r="AD78" s="258"/>
      <c r="AE78" s="445" t="s">
        <v>349</v>
      </c>
      <c r="AF78" s="446"/>
      <c r="AG78" s="446"/>
      <c r="AH78" s="446"/>
      <c r="AI78" s="446"/>
      <c r="AJ78" s="446"/>
      <c r="AK78" s="446"/>
      <c r="AL78" s="446"/>
      <c r="AM78" s="446"/>
      <c r="AN78" s="446"/>
      <c r="AO78" s="446"/>
      <c r="AP78" s="446"/>
      <c r="AQ78" s="446"/>
      <c r="AR78" s="447"/>
      <c r="AS78" s="259"/>
      <c r="AT78" s="260"/>
    </row>
    <row r="79" spans="2:46" ht="33.75" customHeight="1">
      <c r="B79" s="185"/>
      <c r="C79" s="448" t="s">
        <v>23</v>
      </c>
      <c r="D79" s="449"/>
      <c r="E79" s="449"/>
      <c r="F79" s="449"/>
      <c r="G79" s="449"/>
      <c r="H79" s="448" t="s">
        <v>357</v>
      </c>
      <c r="I79" s="449"/>
      <c r="J79" s="449"/>
      <c r="K79" s="449"/>
      <c r="L79" s="450"/>
      <c r="M79" s="257"/>
      <c r="N79" s="257"/>
      <c r="O79" s="262"/>
      <c r="P79" s="262"/>
      <c r="Q79" s="262"/>
      <c r="R79" s="262"/>
      <c r="S79" s="448" t="s">
        <v>350</v>
      </c>
      <c r="T79" s="449"/>
      <c r="U79" s="449"/>
      <c r="V79" s="449"/>
      <c r="W79" s="449"/>
      <c r="X79" s="448" t="s">
        <v>358</v>
      </c>
      <c r="Y79" s="449"/>
      <c r="Z79" s="449"/>
      <c r="AA79" s="449"/>
      <c r="AB79" s="450"/>
      <c r="AC79" s="263"/>
      <c r="AD79" s="263"/>
      <c r="AE79" s="445" t="s">
        <v>352</v>
      </c>
      <c r="AF79" s="446"/>
      <c r="AG79" s="446"/>
      <c r="AH79" s="446"/>
      <c r="AI79" s="446"/>
      <c r="AJ79" s="446"/>
      <c r="AK79" s="447"/>
      <c r="AL79" s="446" t="s">
        <v>350</v>
      </c>
      <c r="AM79" s="446"/>
      <c r="AN79" s="446"/>
      <c r="AO79" s="446"/>
      <c r="AP79" s="446"/>
      <c r="AQ79" s="446"/>
      <c r="AR79" s="447"/>
      <c r="AS79" s="259"/>
      <c r="AT79" s="260"/>
    </row>
    <row r="80" spans="2:46" ht="13.5" customHeight="1">
      <c r="B80" s="185"/>
      <c r="C80" s="265"/>
      <c r="D80" s="264"/>
      <c r="E80" s="266"/>
      <c r="F80" s="266"/>
      <c r="G80" s="266"/>
      <c r="H80" s="267"/>
      <c r="I80" s="266"/>
      <c r="J80" s="266"/>
      <c r="K80" s="268"/>
      <c r="L80" s="269"/>
      <c r="M80" s="436" t="s">
        <v>353</v>
      </c>
      <c r="N80" s="437"/>
      <c r="O80" s="264"/>
      <c r="P80" s="264"/>
      <c r="Q80" s="264"/>
      <c r="R80" s="264"/>
      <c r="S80" s="265"/>
      <c r="T80" s="264"/>
      <c r="U80" s="266"/>
      <c r="V80" s="266"/>
      <c r="W80" s="266"/>
      <c r="X80" s="267"/>
      <c r="Y80" s="266"/>
      <c r="Z80" s="266"/>
      <c r="AA80" s="268"/>
      <c r="AB80" s="269"/>
      <c r="AC80" s="266" t="s">
        <v>353</v>
      </c>
      <c r="AD80" s="264"/>
      <c r="AE80" s="438"/>
      <c r="AF80" s="439"/>
      <c r="AG80" s="439"/>
      <c r="AH80" s="439"/>
      <c r="AI80" s="439"/>
      <c r="AJ80" s="439"/>
      <c r="AK80" s="440"/>
      <c r="AL80" s="259"/>
      <c r="AM80" s="259"/>
      <c r="AN80" s="259"/>
      <c r="AO80" s="259"/>
      <c r="AP80" s="259"/>
      <c r="AQ80" s="259"/>
      <c r="AR80" s="270"/>
      <c r="AS80" s="259"/>
      <c r="AT80" s="260"/>
    </row>
    <row r="81" spans="2:46" ht="15.75">
      <c r="B81" s="283"/>
      <c r="C81" s="272"/>
      <c r="D81" s="273"/>
      <c r="E81" s="274"/>
      <c r="F81" s="274"/>
      <c r="G81" s="274"/>
      <c r="H81" s="275"/>
      <c r="I81" s="274"/>
      <c r="J81" s="274"/>
      <c r="K81" s="276"/>
      <c r="L81" s="277"/>
      <c r="M81" s="284"/>
      <c r="N81" s="268"/>
      <c r="O81" s="264"/>
      <c r="P81" s="264"/>
      <c r="Q81" s="264"/>
      <c r="R81" s="285"/>
      <c r="S81" s="272"/>
      <c r="T81" s="273"/>
      <c r="U81" s="274"/>
      <c r="V81" s="274"/>
      <c r="W81" s="274"/>
      <c r="X81" s="275"/>
      <c r="Y81" s="274"/>
      <c r="Z81" s="274"/>
      <c r="AA81" s="276"/>
      <c r="AB81" s="277"/>
      <c r="AC81" s="278"/>
      <c r="AD81" s="279"/>
      <c r="AE81" s="441"/>
      <c r="AF81" s="442"/>
      <c r="AG81" s="442"/>
      <c r="AH81" s="442"/>
      <c r="AI81" s="442"/>
      <c r="AJ81" s="442"/>
      <c r="AK81" s="443"/>
      <c r="AL81" s="280"/>
      <c r="AM81" s="280"/>
      <c r="AN81" s="280"/>
      <c r="AO81" s="280"/>
      <c r="AP81" s="280"/>
      <c r="AQ81" s="280"/>
      <c r="AR81" s="281"/>
      <c r="AS81" s="286"/>
      <c r="AT81" s="260"/>
    </row>
    <row r="82" spans="2:46" ht="16.5" thickBot="1">
      <c r="B82" s="222"/>
      <c r="C82" s="223"/>
      <c r="D82" s="223"/>
      <c r="E82" s="223"/>
      <c r="F82" s="223" t="s">
        <v>359</v>
      </c>
      <c r="G82" s="223"/>
      <c r="H82" s="223"/>
      <c r="I82" s="223"/>
      <c r="J82" s="223"/>
      <c r="K82" s="223"/>
      <c r="L82" s="223"/>
      <c r="M82" s="223"/>
      <c r="N82" s="444" t="s">
        <v>353</v>
      </c>
      <c r="O82" s="444"/>
      <c r="P82" s="223" t="s">
        <v>360</v>
      </c>
      <c r="Q82" s="223"/>
      <c r="R82" s="223"/>
      <c r="S82" s="223"/>
      <c r="T82" s="223"/>
      <c r="U82" s="223"/>
      <c r="V82" s="223"/>
      <c r="W82" s="223"/>
      <c r="X82" s="223"/>
      <c r="Y82" s="223"/>
      <c r="Z82" s="223"/>
      <c r="AA82" s="223"/>
      <c r="AB82" s="223"/>
      <c r="AC82" s="223"/>
      <c r="AD82" s="223"/>
      <c r="AE82" s="223"/>
      <c r="AF82" s="444" t="s">
        <v>353</v>
      </c>
      <c r="AG82" s="444"/>
      <c r="AH82" s="223" t="s">
        <v>217</v>
      </c>
      <c r="AI82" s="444" t="s">
        <v>353</v>
      </c>
      <c r="AJ82" s="444"/>
      <c r="AK82" s="223" t="s">
        <v>354</v>
      </c>
      <c r="AL82" s="223"/>
      <c r="AM82" s="223"/>
      <c r="AN82" s="223"/>
      <c r="AO82" s="223"/>
      <c r="AP82" s="223"/>
      <c r="AQ82" s="223"/>
      <c r="AR82" s="223"/>
      <c r="AS82" s="223"/>
      <c r="AT82" s="224"/>
    </row>
    <row r="83" spans="2:46" ht="14.25" thickBot="1"/>
    <row r="84" spans="2:46" ht="19.5" thickBot="1">
      <c r="B84" s="287" t="s">
        <v>361</v>
      </c>
      <c r="C84" s="288"/>
      <c r="D84" s="288"/>
      <c r="E84" s="288"/>
      <c r="F84" s="288"/>
      <c r="G84" s="288"/>
      <c r="H84" s="288"/>
      <c r="I84" s="288"/>
      <c r="J84" s="288"/>
      <c r="K84" s="288"/>
      <c r="L84" s="288"/>
      <c r="M84" s="288"/>
      <c r="N84" s="288"/>
      <c r="O84" s="289"/>
      <c r="P84" s="289"/>
      <c r="Q84" s="289"/>
      <c r="R84" s="289"/>
      <c r="S84" s="289"/>
      <c r="T84" s="289"/>
      <c r="U84" s="289"/>
      <c r="V84" s="289"/>
      <c r="W84" s="289"/>
      <c r="X84" s="289"/>
      <c r="Y84" s="289"/>
      <c r="Z84" s="289"/>
      <c r="AA84" s="289"/>
      <c r="AB84" s="289"/>
      <c r="AC84" s="289"/>
      <c r="AD84" s="289"/>
      <c r="AE84" s="289"/>
      <c r="AF84" s="289"/>
      <c r="AG84" s="289"/>
      <c r="AH84" s="289"/>
      <c r="AI84" s="290"/>
      <c r="AJ84" s="289"/>
      <c r="AK84" s="289"/>
      <c r="AL84" s="289"/>
      <c r="AM84" s="289"/>
      <c r="AN84" s="289"/>
      <c r="AO84" s="289"/>
      <c r="AP84" s="289"/>
      <c r="AQ84" s="289"/>
      <c r="AR84" s="289"/>
      <c r="AS84" s="289"/>
      <c r="AT84" s="291"/>
    </row>
    <row r="85" spans="2:46" ht="19.5" thickBot="1">
      <c r="B85" s="170" t="s">
        <v>362</v>
      </c>
      <c r="AI85" s="290" t="s">
        <v>363</v>
      </c>
      <c r="AJ85" s="289"/>
      <c r="AK85" s="289"/>
      <c r="AL85" s="289"/>
      <c r="AM85" s="289"/>
      <c r="AN85" s="289"/>
      <c r="AO85" s="289"/>
      <c r="AP85" s="289"/>
      <c r="AQ85" s="289"/>
      <c r="AR85" s="289"/>
      <c r="AS85" s="289"/>
      <c r="AT85" s="291"/>
    </row>
    <row r="86" spans="2:46">
      <c r="B86" s="170" t="s">
        <v>364</v>
      </c>
      <c r="F86" s="170" t="s">
        <v>365</v>
      </c>
    </row>
    <row r="87" spans="2:46">
      <c r="F87" s="170" t="s">
        <v>366</v>
      </c>
    </row>
    <row r="88" spans="2:46">
      <c r="F88" s="170" t="s">
        <v>367</v>
      </c>
    </row>
    <row r="89" spans="2:46">
      <c r="F89" s="170" t="s">
        <v>368</v>
      </c>
    </row>
  </sheetData>
  <mergeCells count="113">
    <mergeCell ref="B3:AC5"/>
    <mergeCell ref="AM3:AR3"/>
    <mergeCell ref="AM4:AR4"/>
    <mergeCell ref="AM5:AR5"/>
    <mergeCell ref="AM6:AR6"/>
    <mergeCell ref="AB11:AG11"/>
    <mergeCell ref="J16:Y16"/>
    <mergeCell ref="AI16:AS16"/>
    <mergeCell ref="J17:Y17"/>
    <mergeCell ref="AI17:AS17"/>
    <mergeCell ref="C18:I18"/>
    <mergeCell ref="J18:Y18"/>
    <mergeCell ref="AI18:AS18"/>
    <mergeCell ref="C13:I13"/>
    <mergeCell ref="J13:Y13"/>
    <mergeCell ref="AI13:AS13"/>
    <mergeCell ref="J14:Y14"/>
    <mergeCell ref="AI14:AS14"/>
    <mergeCell ref="J15:Y15"/>
    <mergeCell ref="AI15:AS15"/>
    <mergeCell ref="J19:Y19"/>
    <mergeCell ref="AI19:AS19"/>
    <mergeCell ref="I21:L21"/>
    <mergeCell ref="M21:P21"/>
    <mergeCell ref="Q21:V21"/>
    <mergeCell ref="W21:Z21"/>
    <mergeCell ref="AA21:AD21"/>
    <mergeCell ref="AE21:AH21"/>
    <mergeCell ref="AI21:AO21"/>
    <mergeCell ref="AI22:AO22"/>
    <mergeCell ref="I24:L24"/>
    <mergeCell ref="M24:P24"/>
    <mergeCell ref="Q24:V24"/>
    <mergeCell ref="W24:Z24"/>
    <mergeCell ref="AA24:AD24"/>
    <mergeCell ref="AE24:AH24"/>
    <mergeCell ref="AI24:AO24"/>
    <mergeCell ref="I22:L22"/>
    <mergeCell ref="M22:P22"/>
    <mergeCell ref="Q22:V22"/>
    <mergeCell ref="W22:Z22"/>
    <mergeCell ref="AA22:AD22"/>
    <mergeCell ref="AE22:AH22"/>
    <mergeCell ref="M36:S36"/>
    <mergeCell ref="T36:Z36"/>
    <mergeCell ref="AA36:AH36"/>
    <mergeCell ref="M37:S37"/>
    <mergeCell ref="T37:Z37"/>
    <mergeCell ref="AA37:AH37"/>
    <mergeCell ref="AI25:AO25"/>
    <mergeCell ref="M34:R34"/>
    <mergeCell ref="T34:Z34"/>
    <mergeCell ref="AA34:AH34"/>
    <mergeCell ref="M35:R35"/>
    <mergeCell ref="T35:Z35"/>
    <mergeCell ref="AA35:AH35"/>
    <mergeCell ref="C27:AS27"/>
    <mergeCell ref="I25:L25"/>
    <mergeCell ref="M25:P25"/>
    <mergeCell ref="Q25:V25"/>
    <mergeCell ref="W25:Z25"/>
    <mergeCell ref="AA25:AD25"/>
    <mergeCell ref="AE25:AH25"/>
    <mergeCell ref="AF44:AI44"/>
    <mergeCell ref="AL44:AP44"/>
    <mergeCell ref="X45:AA45"/>
    <mergeCell ref="AB45:AE45"/>
    <mergeCell ref="AF45:AI45"/>
    <mergeCell ref="C46:W46"/>
    <mergeCell ref="X46:AA47"/>
    <mergeCell ref="AB46:AE47"/>
    <mergeCell ref="AF46:AI47"/>
    <mergeCell ref="AL47:AP47"/>
    <mergeCell ref="X52:AE52"/>
    <mergeCell ref="AF52:AI52"/>
    <mergeCell ref="AL52:AP52"/>
    <mergeCell ref="C56:AR56"/>
    <mergeCell ref="C62:AR62"/>
    <mergeCell ref="C71:L71"/>
    <mergeCell ref="P71:Y71"/>
    <mergeCell ref="AE71:AR71"/>
    <mergeCell ref="C48:W48"/>
    <mergeCell ref="X48:AA49"/>
    <mergeCell ref="AB48:AE49"/>
    <mergeCell ref="AF48:AI49"/>
    <mergeCell ref="AL49:AP49"/>
    <mergeCell ref="C50:W50"/>
    <mergeCell ref="X50:AA51"/>
    <mergeCell ref="AB50:AE51"/>
    <mergeCell ref="AF50:AI51"/>
    <mergeCell ref="C72:L72"/>
    <mergeCell ref="P72:T72"/>
    <mergeCell ref="U72:Y72"/>
    <mergeCell ref="AE72:AK72"/>
    <mergeCell ref="AL72:AR72"/>
    <mergeCell ref="C73:L74"/>
    <mergeCell ref="M73:N73"/>
    <mergeCell ref="AB73:AC73"/>
    <mergeCell ref="AE73:AK74"/>
    <mergeCell ref="M80:N80"/>
    <mergeCell ref="AE80:AK81"/>
    <mergeCell ref="N82:O82"/>
    <mergeCell ref="AF82:AG82"/>
    <mergeCell ref="AI82:AJ82"/>
    <mergeCell ref="C78:L78"/>
    <mergeCell ref="S78:AB78"/>
    <mergeCell ref="AE78:AR78"/>
    <mergeCell ref="C79:G79"/>
    <mergeCell ref="H79:L79"/>
    <mergeCell ref="S79:W79"/>
    <mergeCell ref="X79:AB79"/>
    <mergeCell ref="AE79:AK79"/>
    <mergeCell ref="AL79:AR79"/>
  </mergeCells>
  <dataValidations count="2">
    <dataValidation type="list" allowBlank="1" showInputMessage="1" showErrorMessage="1" sqref="J14:Y14 JF14:JU14 TB14:TQ14 ACX14:ADM14 AMT14:ANI14 AWP14:AXE14 BGL14:BHA14 BQH14:BQW14 CAD14:CAS14 CJZ14:CKO14 CTV14:CUK14 DDR14:DEG14 DNN14:DOC14 DXJ14:DXY14 EHF14:EHU14 ERB14:ERQ14 FAX14:FBM14 FKT14:FLI14 FUP14:FVE14 GEL14:GFA14 GOH14:GOW14 GYD14:GYS14 HHZ14:HIO14 HRV14:HSK14 IBR14:ICG14 ILN14:IMC14 IVJ14:IVY14 JFF14:JFU14 JPB14:JPQ14 JYX14:JZM14 KIT14:KJI14 KSP14:KTE14 LCL14:LDA14 LMH14:LMW14 LWD14:LWS14 MFZ14:MGO14 MPV14:MQK14 MZR14:NAG14 NJN14:NKC14 NTJ14:NTY14 ODF14:ODU14 ONB14:ONQ14 OWX14:OXM14 PGT14:PHI14 PQP14:PRE14 QAL14:QBA14 QKH14:QKW14 QUD14:QUS14 RDZ14:REO14 RNV14:ROK14 RXR14:RYG14 SHN14:SIC14 SRJ14:SRY14 TBF14:TBU14 TLB14:TLQ14 TUX14:TVM14 UET14:UFI14 UOP14:UPE14 UYL14:UZA14 VIH14:VIW14 VSD14:VSS14 WBZ14:WCO14 WLV14:WMK14 WVR14:WWG14 J65550:Y65550 JF65550:JU65550 TB65550:TQ65550 ACX65550:ADM65550 AMT65550:ANI65550 AWP65550:AXE65550 BGL65550:BHA65550 BQH65550:BQW65550 CAD65550:CAS65550 CJZ65550:CKO65550 CTV65550:CUK65550 DDR65550:DEG65550 DNN65550:DOC65550 DXJ65550:DXY65550 EHF65550:EHU65550 ERB65550:ERQ65550 FAX65550:FBM65550 FKT65550:FLI65550 FUP65550:FVE65550 GEL65550:GFA65550 GOH65550:GOW65550 GYD65550:GYS65550 HHZ65550:HIO65550 HRV65550:HSK65550 IBR65550:ICG65550 ILN65550:IMC65550 IVJ65550:IVY65550 JFF65550:JFU65550 JPB65550:JPQ65550 JYX65550:JZM65550 KIT65550:KJI65550 KSP65550:KTE65550 LCL65550:LDA65550 LMH65550:LMW65550 LWD65550:LWS65550 MFZ65550:MGO65550 MPV65550:MQK65550 MZR65550:NAG65550 NJN65550:NKC65550 NTJ65550:NTY65550 ODF65550:ODU65550 ONB65550:ONQ65550 OWX65550:OXM65550 PGT65550:PHI65550 PQP65550:PRE65550 QAL65550:QBA65550 QKH65550:QKW65550 QUD65550:QUS65550 RDZ65550:REO65550 RNV65550:ROK65550 RXR65550:RYG65550 SHN65550:SIC65550 SRJ65550:SRY65550 TBF65550:TBU65550 TLB65550:TLQ65550 TUX65550:TVM65550 UET65550:UFI65550 UOP65550:UPE65550 UYL65550:UZA65550 VIH65550:VIW65550 VSD65550:VSS65550 WBZ65550:WCO65550 WLV65550:WMK65550 WVR65550:WWG65550 J131086:Y131086 JF131086:JU131086 TB131086:TQ131086 ACX131086:ADM131086 AMT131086:ANI131086 AWP131086:AXE131086 BGL131086:BHA131086 BQH131086:BQW131086 CAD131086:CAS131086 CJZ131086:CKO131086 CTV131086:CUK131086 DDR131086:DEG131086 DNN131086:DOC131086 DXJ131086:DXY131086 EHF131086:EHU131086 ERB131086:ERQ131086 FAX131086:FBM131086 FKT131086:FLI131086 FUP131086:FVE131086 GEL131086:GFA131086 GOH131086:GOW131086 GYD131086:GYS131086 HHZ131086:HIO131086 HRV131086:HSK131086 IBR131086:ICG131086 ILN131086:IMC131086 IVJ131086:IVY131086 JFF131086:JFU131086 JPB131086:JPQ131086 JYX131086:JZM131086 KIT131086:KJI131086 KSP131086:KTE131086 LCL131086:LDA131086 LMH131086:LMW131086 LWD131086:LWS131086 MFZ131086:MGO131086 MPV131086:MQK131086 MZR131086:NAG131086 NJN131086:NKC131086 NTJ131086:NTY131086 ODF131086:ODU131086 ONB131086:ONQ131086 OWX131086:OXM131086 PGT131086:PHI131086 PQP131086:PRE131086 QAL131086:QBA131086 QKH131086:QKW131086 QUD131086:QUS131086 RDZ131086:REO131086 RNV131086:ROK131086 RXR131086:RYG131086 SHN131086:SIC131086 SRJ131086:SRY131086 TBF131086:TBU131086 TLB131086:TLQ131086 TUX131086:TVM131086 UET131086:UFI131086 UOP131086:UPE131086 UYL131086:UZA131086 VIH131086:VIW131086 VSD131086:VSS131086 WBZ131086:WCO131086 WLV131086:WMK131086 WVR131086:WWG131086 J196622:Y196622 JF196622:JU196622 TB196622:TQ196622 ACX196622:ADM196622 AMT196622:ANI196622 AWP196622:AXE196622 BGL196622:BHA196622 BQH196622:BQW196622 CAD196622:CAS196622 CJZ196622:CKO196622 CTV196622:CUK196622 DDR196622:DEG196622 DNN196622:DOC196622 DXJ196622:DXY196622 EHF196622:EHU196622 ERB196622:ERQ196622 FAX196622:FBM196622 FKT196622:FLI196622 FUP196622:FVE196622 GEL196622:GFA196622 GOH196622:GOW196622 GYD196622:GYS196622 HHZ196622:HIO196622 HRV196622:HSK196622 IBR196622:ICG196622 ILN196622:IMC196622 IVJ196622:IVY196622 JFF196622:JFU196622 JPB196622:JPQ196622 JYX196622:JZM196622 KIT196622:KJI196622 KSP196622:KTE196622 LCL196622:LDA196622 LMH196622:LMW196622 LWD196622:LWS196622 MFZ196622:MGO196622 MPV196622:MQK196622 MZR196622:NAG196622 NJN196622:NKC196622 NTJ196622:NTY196622 ODF196622:ODU196622 ONB196622:ONQ196622 OWX196622:OXM196622 PGT196622:PHI196622 PQP196622:PRE196622 QAL196622:QBA196622 QKH196622:QKW196622 QUD196622:QUS196622 RDZ196622:REO196622 RNV196622:ROK196622 RXR196622:RYG196622 SHN196622:SIC196622 SRJ196622:SRY196622 TBF196622:TBU196622 TLB196622:TLQ196622 TUX196622:TVM196622 UET196622:UFI196622 UOP196622:UPE196622 UYL196622:UZA196622 VIH196622:VIW196622 VSD196622:VSS196622 WBZ196622:WCO196622 WLV196622:WMK196622 WVR196622:WWG196622 J262158:Y262158 JF262158:JU262158 TB262158:TQ262158 ACX262158:ADM262158 AMT262158:ANI262158 AWP262158:AXE262158 BGL262158:BHA262158 BQH262158:BQW262158 CAD262158:CAS262158 CJZ262158:CKO262158 CTV262158:CUK262158 DDR262158:DEG262158 DNN262158:DOC262158 DXJ262158:DXY262158 EHF262158:EHU262158 ERB262158:ERQ262158 FAX262158:FBM262158 FKT262158:FLI262158 FUP262158:FVE262158 GEL262158:GFA262158 GOH262158:GOW262158 GYD262158:GYS262158 HHZ262158:HIO262158 HRV262158:HSK262158 IBR262158:ICG262158 ILN262158:IMC262158 IVJ262158:IVY262158 JFF262158:JFU262158 JPB262158:JPQ262158 JYX262158:JZM262158 KIT262158:KJI262158 KSP262158:KTE262158 LCL262158:LDA262158 LMH262158:LMW262158 LWD262158:LWS262158 MFZ262158:MGO262158 MPV262158:MQK262158 MZR262158:NAG262158 NJN262158:NKC262158 NTJ262158:NTY262158 ODF262158:ODU262158 ONB262158:ONQ262158 OWX262158:OXM262158 PGT262158:PHI262158 PQP262158:PRE262158 QAL262158:QBA262158 QKH262158:QKW262158 QUD262158:QUS262158 RDZ262158:REO262158 RNV262158:ROK262158 RXR262158:RYG262158 SHN262158:SIC262158 SRJ262158:SRY262158 TBF262158:TBU262158 TLB262158:TLQ262158 TUX262158:TVM262158 UET262158:UFI262158 UOP262158:UPE262158 UYL262158:UZA262158 VIH262158:VIW262158 VSD262158:VSS262158 WBZ262158:WCO262158 WLV262158:WMK262158 WVR262158:WWG262158 J327694:Y327694 JF327694:JU327694 TB327694:TQ327694 ACX327694:ADM327694 AMT327694:ANI327694 AWP327694:AXE327694 BGL327694:BHA327694 BQH327694:BQW327694 CAD327694:CAS327694 CJZ327694:CKO327694 CTV327694:CUK327694 DDR327694:DEG327694 DNN327694:DOC327694 DXJ327694:DXY327694 EHF327694:EHU327694 ERB327694:ERQ327694 FAX327694:FBM327694 FKT327694:FLI327694 FUP327694:FVE327694 GEL327694:GFA327694 GOH327694:GOW327694 GYD327694:GYS327694 HHZ327694:HIO327694 HRV327694:HSK327694 IBR327694:ICG327694 ILN327694:IMC327694 IVJ327694:IVY327694 JFF327694:JFU327694 JPB327694:JPQ327694 JYX327694:JZM327694 KIT327694:KJI327694 KSP327694:KTE327694 LCL327694:LDA327694 LMH327694:LMW327694 LWD327694:LWS327694 MFZ327694:MGO327694 MPV327694:MQK327694 MZR327694:NAG327694 NJN327694:NKC327694 NTJ327694:NTY327694 ODF327694:ODU327694 ONB327694:ONQ327694 OWX327694:OXM327694 PGT327694:PHI327694 PQP327694:PRE327694 QAL327694:QBA327694 QKH327694:QKW327694 QUD327694:QUS327694 RDZ327694:REO327694 RNV327694:ROK327694 RXR327694:RYG327694 SHN327694:SIC327694 SRJ327694:SRY327694 TBF327694:TBU327694 TLB327694:TLQ327694 TUX327694:TVM327694 UET327694:UFI327694 UOP327694:UPE327694 UYL327694:UZA327694 VIH327694:VIW327694 VSD327694:VSS327694 WBZ327694:WCO327694 WLV327694:WMK327694 WVR327694:WWG327694 J393230:Y393230 JF393230:JU393230 TB393230:TQ393230 ACX393230:ADM393230 AMT393230:ANI393230 AWP393230:AXE393230 BGL393230:BHA393230 BQH393230:BQW393230 CAD393230:CAS393230 CJZ393230:CKO393230 CTV393230:CUK393230 DDR393230:DEG393230 DNN393230:DOC393230 DXJ393230:DXY393230 EHF393230:EHU393230 ERB393230:ERQ393230 FAX393230:FBM393230 FKT393230:FLI393230 FUP393230:FVE393230 GEL393230:GFA393230 GOH393230:GOW393230 GYD393230:GYS393230 HHZ393230:HIO393230 HRV393230:HSK393230 IBR393230:ICG393230 ILN393230:IMC393230 IVJ393230:IVY393230 JFF393230:JFU393230 JPB393230:JPQ393230 JYX393230:JZM393230 KIT393230:KJI393230 KSP393230:KTE393230 LCL393230:LDA393230 LMH393230:LMW393230 LWD393230:LWS393230 MFZ393230:MGO393230 MPV393230:MQK393230 MZR393230:NAG393230 NJN393230:NKC393230 NTJ393230:NTY393230 ODF393230:ODU393230 ONB393230:ONQ393230 OWX393230:OXM393230 PGT393230:PHI393230 PQP393230:PRE393230 QAL393230:QBA393230 QKH393230:QKW393230 QUD393230:QUS393230 RDZ393230:REO393230 RNV393230:ROK393230 RXR393230:RYG393230 SHN393230:SIC393230 SRJ393230:SRY393230 TBF393230:TBU393230 TLB393230:TLQ393230 TUX393230:TVM393230 UET393230:UFI393230 UOP393230:UPE393230 UYL393230:UZA393230 VIH393230:VIW393230 VSD393230:VSS393230 WBZ393230:WCO393230 WLV393230:WMK393230 WVR393230:WWG393230 J458766:Y458766 JF458766:JU458766 TB458766:TQ458766 ACX458766:ADM458766 AMT458766:ANI458766 AWP458766:AXE458766 BGL458766:BHA458766 BQH458766:BQW458766 CAD458766:CAS458766 CJZ458766:CKO458766 CTV458766:CUK458766 DDR458766:DEG458766 DNN458766:DOC458766 DXJ458766:DXY458766 EHF458766:EHU458766 ERB458766:ERQ458766 FAX458766:FBM458766 FKT458766:FLI458766 FUP458766:FVE458766 GEL458766:GFA458766 GOH458766:GOW458766 GYD458766:GYS458766 HHZ458766:HIO458766 HRV458766:HSK458766 IBR458766:ICG458766 ILN458766:IMC458766 IVJ458766:IVY458766 JFF458766:JFU458766 JPB458766:JPQ458766 JYX458766:JZM458766 KIT458766:KJI458766 KSP458766:KTE458766 LCL458766:LDA458766 LMH458766:LMW458766 LWD458766:LWS458766 MFZ458766:MGO458766 MPV458766:MQK458766 MZR458766:NAG458766 NJN458766:NKC458766 NTJ458766:NTY458766 ODF458766:ODU458766 ONB458766:ONQ458766 OWX458766:OXM458766 PGT458766:PHI458766 PQP458766:PRE458766 QAL458766:QBA458766 QKH458766:QKW458766 QUD458766:QUS458766 RDZ458766:REO458766 RNV458766:ROK458766 RXR458766:RYG458766 SHN458766:SIC458766 SRJ458766:SRY458766 TBF458766:TBU458766 TLB458766:TLQ458766 TUX458766:TVM458766 UET458766:UFI458766 UOP458766:UPE458766 UYL458766:UZA458766 VIH458766:VIW458766 VSD458766:VSS458766 WBZ458766:WCO458766 WLV458766:WMK458766 WVR458766:WWG458766 J524302:Y524302 JF524302:JU524302 TB524302:TQ524302 ACX524302:ADM524302 AMT524302:ANI524302 AWP524302:AXE524302 BGL524302:BHA524302 BQH524302:BQW524302 CAD524302:CAS524302 CJZ524302:CKO524302 CTV524302:CUK524302 DDR524302:DEG524302 DNN524302:DOC524302 DXJ524302:DXY524302 EHF524302:EHU524302 ERB524302:ERQ524302 FAX524302:FBM524302 FKT524302:FLI524302 FUP524302:FVE524302 GEL524302:GFA524302 GOH524302:GOW524302 GYD524302:GYS524302 HHZ524302:HIO524302 HRV524302:HSK524302 IBR524302:ICG524302 ILN524302:IMC524302 IVJ524302:IVY524302 JFF524302:JFU524302 JPB524302:JPQ524302 JYX524302:JZM524302 KIT524302:KJI524302 KSP524302:KTE524302 LCL524302:LDA524302 LMH524302:LMW524302 LWD524302:LWS524302 MFZ524302:MGO524302 MPV524302:MQK524302 MZR524302:NAG524302 NJN524302:NKC524302 NTJ524302:NTY524302 ODF524302:ODU524302 ONB524302:ONQ524302 OWX524302:OXM524302 PGT524302:PHI524302 PQP524302:PRE524302 QAL524302:QBA524302 QKH524302:QKW524302 QUD524302:QUS524302 RDZ524302:REO524302 RNV524302:ROK524302 RXR524302:RYG524302 SHN524302:SIC524302 SRJ524302:SRY524302 TBF524302:TBU524302 TLB524302:TLQ524302 TUX524302:TVM524302 UET524302:UFI524302 UOP524302:UPE524302 UYL524302:UZA524302 VIH524302:VIW524302 VSD524302:VSS524302 WBZ524302:WCO524302 WLV524302:WMK524302 WVR524302:WWG524302 J589838:Y589838 JF589838:JU589838 TB589838:TQ589838 ACX589838:ADM589838 AMT589838:ANI589838 AWP589838:AXE589838 BGL589838:BHA589838 BQH589838:BQW589838 CAD589838:CAS589838 CJZ589838:CKO589838 CTV589838:CUK589838 DDR589838:DEG589838 DNN589838:DOC589838 DXJ589838:DXY589838 EHF589838:EHU589838 ERB589838:ERQ589838 FAX589838:FBM589838 FKT589838:FLI589838 FUP589838:FVE589838 GEL589838:GFA589838 GOH589838:GOW589838 GYD589838:GYS589838 HHZ589838:HIO589838 HRV589838:HSK589838 IBR589838:ICG589838 ILN589838:IMC589838 IVJ589838:IVY589838 JFF589838:JFU589838 JPB589838:JPQ589838 JYX589838:JZM589838 KIT589838:KJI589838 KSP589838:KTE589838 LCL589838:LDA589838 LMH589838:LMW589838 LWD589838:LWS589838 MFZ589838:MGO589838 MPV589838:MQK589838 MZR589838:NAG589838 NJN589838:NKC589838 NTJ589838:NTY589838 ODF589838:ODU589838 ONB589838:ONQ589838 OWX589838:OXM589838 PGT589838:PHI589838 PQP589838:PRE589838 QAL589838:QBA589838 QKH589838:QKW589838 QUD589838:QUS589838 RDZ589838:REO589838 RNV589838:ROK589838 RXR589838:RYG589838 SHN589838:SIC589838 SRJ589838:SRY589838 TBF589838:TBU589838 TLB589838:TLQ589838 TUX589838:TVM589838 UET589838:UFI589838 UOP589838:UPE589838 UYL589838:UZA589838 VIH589838:VIW589838 VSD589838:VSS589838 WBZ589838:WCO589838 WLV589838:WMK589838 WVR589838:WWG589838 J655374:Y655374 JF655374:JU655374 TB655374:TQ655374 ACX655374:ADM655374 AMT655374:ANI655374 AWP655374:AXE655374 BGL655374:BHA655374 BQH655374:BQW655374 CAD655374:CAS655374 CJZ655374:CKO655374 CTV655374:CUK655374 DDR655374:DEG655374 DNN655374:DOC655374 DXJ655374:DXY655374 EHF655374:EHU655374 ERB655374:ERQ655374 FAX655374:FBM655374 FKT655374:FLI655374 FUP655374:FVE655374 GEL655374:GFA655374 GOH655374:GOW655374 GYD655374:GYS655374 HHZ655374:HIO655374 HRV655374:HSK655374 IBR655374:ICG655374 ILN655374:IMC655374 IVJ655374:IVY655374 JFF655374:JFU655374 JPB655374:JPQ655374 JYX655374:JZM655374 KIT655374:KJI655374 KSP655374:KTE655374 LCL655374:LDA655374 LMH655374:LMW655374 LWD655374:LWS655374 MFZ655374:MGO655374 MPV655374:MQK655374 MZR655374:NAG655374 NJN655374:NKC655374 NTJ655374:NTY655374 ODF655374:ODU655374 ONB655374:ONQ655374 OWX655374:OXM655374 PGT655374:PHI655374 PQP655374:PRE655374 QAL655374:QBA655374 QKH655374:QKW655374 QUD655374:QUS655374 RDZ655374:REO655374 RNV655374:ROK655374 RXR655374:RYG655374 SHN655374:SIC655374 SRJ655374:SRY655374 TBF655374:TBU655374 TLB655374:TLQ655374 TUX655374:TVM655374 UET655374:UFI655374 UOP655374:UPE655374 UYL655374:UZA655374 VIH655374:VIW655374 VSD655374:VSS655374 WBZ655374:WCO655374 WLV655374:WMK655374 WVR655374:WWG655374 J720910:Y720910 JF720910:JU720910 TB720910:TQ720910 ACX720910:ADM720910 AMT720910:ANI720910 AWP720910:AXE720910 BGL720910:BHA720910 BQH720910:BQW720910 CAD720910:CAS720910 CJZ720910:CKO720910 CTV720910:CUK720910 DDR720910:DEG720910 DNN720910:DOC720910 DXJ720910:DXY720910 EHF720910:EHU720910 ERB720910:ERQ720910 FAX720910:FBM720910 FKT720910:FLI720910 FUP720910:FVE720910 GEL720910:GFA720910 GOH720910:GOW720910 GYD720910:GYS720910 HHZ720910:HIO720910 HRV720910:HSK720910 IBR720910:ICG720910 ILN720910:IMC720910 IVJ720910:IVY720910 JFF720910:JFU720910 JPB720910:JPQ720910 JYX720910:JZM720910 KIT720910:KJI720910 KSP720910:KTE720910 LCL720910:LDA720910 LMH720910:LMW720910 LWD720910:LWS720910 MFZ720910:MGO720910 MPV720910:MQK720910 MZR720910:NAG720910 NJN720910:NKC720910 NTJ720910:NTY720910 ODF720910:ODU720910 ONB720910:ONQ720910 OWX720910:OXM720910 PGT720910:PHI720910 PQP720910:PRE720910 QAL720910:QBA720910 QKH720910:QKW720910 QUD720910:QUS720910 RDZ720910:REO720910 RNV720910:ROK720910 RXR720910:RYG720910 SHN720910:SIC720910 SRJ720910:SRY720910 TBF720910:TBU720910 TLB720910:TLQ720910 TUX720910:TVM720910 UET720910:UFI720910 UOP720910:UPE720910 UYL720910:UZA720910 VIH720910:VIW720910 VSD720910:VSS720910 WBZ720910:WCO720910 WLV720910:WMK720910 WVR720910:WWG720910 J786446:Y786446 JF786446:JU786446 TB786446:TQ786446 ACX786446:ADM786446 AMT786446:ANI786446 AWP786446:AXE786446 BGL786446:BHA786446 BQH786446:BQW786446 CAD786446:CAS786446 CJZ786446:CKO786446 CTV786446:CUK786446 DDR786446:DEG786446 DNN786446:DOC786446 DXJ786446:DXY786446 EHF786446:EHU786446 ERB786446:ERQ786446 FAX786446:FBM786446 FKT786446:FLI786446 FUP786446:FVE786446 GEL786446:GFA786446 GOH786446:GOW786446 GYD786446:GYS786446 HHZ786446:HIO786446 HRV786446:HSK786446 IBR786446:ICG786446 ILN786446:IMC786446 IVJ786446:IVY786446 JFF786446:JFU786446 JPB786446:JPQ786446 JYX786446:JZM786446 KIT786446:KJI786446 KSP786446:KTE786446 LCL786446:LDA786446 LMH786446:LMW786446 LWD786446:LWS786446 MFZ786446:MGO786446 MPV786446:MQK786446 MZR786446:NAG786446 NJN786446:NKC786446 NTJ786446:NTY786446 ODF786446:ODU786446 ONB786446:ONQ786446 OWX786446:OXM786446 PGT786446:PHI786446 PQP786446:PRE786446 QAL786446:QBA786446 QKH786446:QKW786446 QUD786446:QUS786446 RDZ786446:REO786446 RNV786446:ROK786446 RXR786446:RYG786446 SHN786446:SIC786446 SRJ786446:SRY786446 TBF786446:TBU786446 TLB786446:TLQ786446 TUX786446:TVM786446 UET786446:UFI786446 UOP786446:UPE786446 UYL786446:UZA786446 VIH786446:VIW786446 VSD786446:VSS786446 WBZ786446:WCO786446 WLV786446:WMK786446 WVR786446:WWG786446 J851982:Y851982 JF851982:JU851982 TB851982:TQ851982 ACX851982:ADM851982 AMT851982:ANI851982 AWP851982:AXE851982 BGL851982:BHA851982 BQH851982:BQW851982 CAD851982:CAS851982 CJZ851982:CKO851982 CTV851982:CUK851982 DDR851982:DEG851982 DNN851982:DOC851982 DXJ851982:DXY851982 EHF851982:EHU851982 ERB851982:ERQ851982 FAX851982:FBM851982 FKT851982:FLI851982 FUP851982:FVE851982 GEL851982:GFA851982 GOH851982:GOW851982 GYD851982:GYS851982 HHZ851982:HIO851982 HRV851982:HSK851982 IBR851982:ICG851982 ILN851982:IMC851982 IVJ851982:IVY851982 JFF851982:JFU851982 JPB851982:JPQ851982 JYX851982:JZM851982 KIT851982:KJI851982 KSP851982:KTE851982 LCL851982:LDA851982 LMH851982:LMW851982 LWD851982:LWS851982 MFZ851982:MGO851982 MPV851982:MQK851982 MZR851982:NAG851982 NJN851982:NKC851982 NTJ851982:NTY851982 ODF851982:ODU851982 ONB851982:ONQ851982 OWX851982:OXM851982 PGT851982:PHI851982 PQP851982:PRE851982 QAL851982:QBA851982 QKH851982:QKW851982 QUD851982:QUS851982 RDZ851982:REO851982 RNV851982:ROK851982 RXR851982:RYG851982 SHN851982:SIC851982 SRJ851982:SRY851982 TBF851982:TBU851982 TLB851982:TLQ851982 TUX851982:TVM851982 UET851982:UFI851982 UOP851982:UPE851982 UYL851982:UZA851982 VIH851982:VIW851982 VSD851982:VSS851982 WBZ851982:WCO851982 WLV851982:WMK851982 WVR851982:WWG851982 J917518:Y917518 JF917518:JU917518 TB917518:TQ917518 ACX917518:ADM917518 AMT917518:ANI917518 AWP917518:AXE917518 BGL917518:BHA917518 BQH917518:BQW917518 CAD917518:CAS917518 CJZ917518:CKO917518 CTV917518:CUK917518 DDR917518:DEG917518 DNN917518:DOC917518 DXJ917518:DXY917518 EHF917518:EHU917518 ERB917518:ERQ917518 FAX917518:FBM917518 FKT917518:FLI917518 FUP917518:FVE917518 GEL917518:GFA917518 GOH917518:GOW917518 GYD917518:GYS917518 HHZ917518:HIO917518 HRV917518:HSK917518 IBR917518:ICG917518 ILN917518:IMC917518 IVJ917518:IVY917518 JFF917518:JFU917518 JPB917518:JPQ917518 JYX917518:JZM917518 KIT917518:KJI917518 KSP917518:KTE917518 LCL917518:LDA917518 LMH917518:LMW917518 LWD917518:LWS917518 MFZ917518:MGO917518 MPV917518:MQK917518 MZR917518:NAG917518 NJN917518:NKC917518 NTJ917518:NTY917518 ODF917518:ODU917518 ONB917518:ONQ917518 OWX917518:OXM917518 PGT917518:PHI917518 PQP917518:PRE917518 QAL917518:QBA917518 QKH917518:QKW917518 QUD917518:QUS917518 RDZ917518:REO917518 RNV917518:ROK917518 RXR917518:RYG917518 SHN917518:SIC917518 SRJ917518:SRY917518 TBF917518:TBU917518 TLB917518:TLQ917518 TUX917518:TVM917518 UET917518:UFI917518 UOP917518:UPE917518 UYL917518:UZA917518 VIH917518:VIW917518 VSD917518:VSS917518 WBZ917518:WCO917518 WLV917518:WMK917518 WVR917518:WWG917518 J983054:Y983054 JF983054:JU983054 TB983054:TQ983054 ACX983054:ADM983054 AMT983054:ANI983054 AWP983054:AXE983054 BGL983054:BHA983054 BQH983054:BQW983054 CAD983054:CAS983054 CJZ983054:CKO983054 CTV983054:CUK983054 DDR983054:DEG983054 DNN983054:DOC983054 DXJ983054:DXY983054 EHF983054:EHU983054 ERB983054:ERQ983054 FAX983054:FBM983054 FKT983054:FLI983054 FUP983054:FVE983054 GEL983054:GFA983054 GOH983054:GOW983054 GYD983054:GYS983054 HHZ983054:HIO983054 HRV983054:HSK983054 IBR983054:ICG983054 ILN983054:IMC983054 IVJ983054:IVY983054 JFF983054:JFU983054 JPB983054:JPQ983054 JYX983054:JZM983054 KIT983054:KJI983054 KSP983054:KTE983054 LCL983054:LDA983054 LMH983054:LMW983054 LWD983054:LWS983054 MFZ983054:MGO983054 MPV983054:MQK983054 MZR983054:NAG983054 NJN983054:NKC983054 NTJ983054:NTY983054 ODF983054:ODU983054 ONB983054:ONQ983054 OWX983054:OXM983054 PGT983054:PHI983054 PQP983054:PRE983054 QAL983054:QBA983054 QKH983054:QKW983054 QUD983054:QUS983054 RDZ983054:REO983054 RNV983054:ROK983054 RXR983054:RYG983054 SHN983054:SIC983054 SRJ983054:SRY983054 TBF983054:TBU983054 TLB983054:TLQ983054 TUX983054:TVM983054 UET983054:UFI983054 UOP983054:UPE983054 UYL983054:UZA983054 VIH983054:VIW983054 VSD983054:VSS983054 WBZ983054:WCO983054 WLV983054:WMK983054 WVR983054:WWG983054" xr:uid="{00000000-0002-0000-0300-000000000000}">
      <formula1>$BC$16:$BC$24</formula1>
    </dataValidation>
    <dataValidation type="list" allowBlank="1" showInputMessage="1" showErrorMessage="1" sqref="J20:P20 JF20:JL20 TB20:TH20 ACX20:ADD20 AMT20:AMZ20 AWP20:AWV20 BGL20:BGR20 BQH20:BQN20 CAD20:CAJ20 CJZ20:CKF20 CTV20:CUB20 DDR20:DDX20 DNN20:DNT20 DXJ20:DXP20 EHF20:EHL20 ERB20:ERH20 FAX20:FBD20 FKT20:FKZ20 FUP20:FUV20 GEL20:GER20 GOH20:GON20 GYD20:GYJ20 HHZ20:HIF20 HRV20:HSB20 IBR20:IBX20 ILN20:ILT20 IVJ20:IVP20 JFF20:JFL20 JPB20:JPH20 JYX20:JZD20 KIT20:KIZ20 KSP20:KSV20 LCL20:LCR20 LMH20:LMN20 LWD20:LWJ20 MFZ20:MGF20 MPV20:MQB20 MZR20:MZX20 NJN20:NJT20 NTJ20:NTP20 ODF20:ODL20 ONB20:ONH20 OWX20:OXD20 PGT20:PGZ20 PQP20:PQV20 QAL20:QAR20 QKH20:QKN20 QUD20:QUJ20 RDZ20:REF20 RNV20:ROB20 RXR20:RXX20 SHN20:SHT20 SRJ20:SRP20 TBF20:TBL20 TLB20:TLH20 TUX20:TVD20 UET20:UEZ20 UOP20:UOV20 UYL20:UYR20 VIH20:VIN20 VSD20:VSJ20 WBZ20:WCF20 WLV20:WMB20 WVR20:WVX20 J65556:P65556 JF65556:JL65556 TB65556:TH65556 ACX65556:ADD65556 AMT65556:AMZ65556 AWP65556:AWV65556 BGL65556:BGR65556 BQH65556:BQN65556 CAD65556:CAJ65556 CJZ65556:CKF65556 CTV65556:CUB65556 DDR65556:DDX65556 DNN65556:DNT65556 DXJ65556:DXP65556 EHF65556:EHL65556 ERB65556:ERH65556 FAX65556:FBD65556 FKT65556:FKZ65556 FUP65556:FUV65556 GEL65556:GER65556 GOH65556:GON65556 GYD65556:GYJ65556 HHZ65556:HIF65556 HRV65556:HSB65556 IBR65556:IBX65556 ILN65556:ILT65556 IVJ65556:IVP65556 JFF65556:JFL65556 JPB65556:JPH65556 JYX65556:JZD65556 KIT65556:KIZ65556 KSP65556:KSV65556 LCL65556:LCR65556 LMH65556:LMN65556 LWD65556:LWJ65556 MFZ65556:MGF65556 MPV65556:MQB65556 MZR65556:MZX65556 NJN65556:NJT65556 NTJ65556:NTP65556 ODF65556:ODL65556 ONB65556:ONH65556 OWX65556:OXD65556 PGT65556:PGZ65556 PQP65556:PQV65556 QAL65556:QAR65556 QKH65556:QKN65556 QUD65556:QUJ65556 RDZ65556:REF65556 RNV65556:ROB65556 RXR65556:RXX65556 SHN65556:SHT65556 SRJ65556:SRP65556 TBF65556:TBL65556 TLB65556:TLH65556 TUX65556:TVD65556 UET65556:UEZ65556 UOP65556:UOV65556 UYL65556:UYR65556 VIH65556:VIN65556 VSD65556:VSJ65556 WBZ65556:WCF65556 WLV65556:WMB65556 WVR65556:WVX65556 J131092:P131092 JF131092:JL131092 TB131092:TH131092 ACX131092:ADD131092 AMT131092:AMZ131092 AWP131092:AWV131092 BGL131092:BGR131092 BQH131092:BQN131092 CAD131092:CAJ131092 CJZ131092:CKF131092 CTV131092:CUB131092 DDR131092:DDX131092 DNN131092:DNT131092 DXJ131092:DXP131092 EHF131092:EHL131092 ERB131092:ERH131092 FAX131092:FBD131092 FKT131092:FKZ131092 FUP131092:FUV131092 GEL131092:GER131092 GOH131092:GON131092 GYD131092:GYJ131092 HHZ131092:HIF131092 HRV131092:HSB131092 IBR131092:IBX131092 ILN131092:ILT131092 IVJ131092:IVP131092 JFF131092:JFL131092 JPB131092:JPH131092 JYX131092:JZD131092 KIT131092:KIZ131092 KSP131092:KSV131092 LCL131092:LCR131092 LMH131092:LMN131092 LWD131092:LWJ131092 MFZ131092:MGF131092 MPV131092:MQB131092 MZR131092:MZX131092 NJN131092:NJT131092 NTJ131092:NTP131092 ODF131092:ODL131092 ONB131092:ONH131092 OWX131092:OXD131092 PGT131092:PGZ131092 PQP131092:PQV131092 QAL131092:QAR131092 QKH131092:QKN131092 QUD131092:QUJ131092 RDZ131092:REF131092 RNV131092:ROB131092 RXR131092:RXX131092 SHN131092:SHT131092 SRJ131092:SRP131092 TBF131092:TBL131092 TLB131092:TLH131092 TUX131092:TVD131092 UET131092:UEZ131092 UOP131092:UOV131092 UYL131092:UYR131092 VIH131092:VIN131092 VSD131092:VSJ131092 WBZ131092:WCF131092 WLV131092:WMB131092 WVR131092:WVX131092 J196628:P196628 JF196628:JL196628 TB196628:TH196628 ACX196628:ADD196628 AMT196628:AMZ196628 AWP196628:AWV196628 BGL196628:BGR196628 BQH196628:BQN196628 CAD196628:CAJ196628 CJZ196628:CKF196628 CTV196628:CUB196628 DDR196628:DDX196628 DNN196628:DNT196628 DXJ196628:DXP196628 EHF196628:EHL196628 ERB196628:ERH196628 FAX196628:FBD196628 FKT196628:FKZ196628 FUP196628:FUV196628 GEL196628:GER196628 GOH196628:GON196628 GYD196628:GYJ196628 HHZ196628:HIF196628 HRV196628:HSB196628 IBR196628:IBX196628 ILN196628:ILT196628 IVJ196628:IVP196628 JFF196628:JFL196628 JPB196628:JPH196628 JYX196628:JZD196628 KIT196628:KIZ196628 KSP196628:KSV196628 LCL196628:LCR196628 LMH196628:LMN196628 LWD196628:LWJ196628 MFZ196628:MGF196628 MPV196628:MQB196628 MZR196628:MZX196628 NJN196628:NJT196628 NTJ196628:NTP196628 ODF196628:ODL196628 ONB196628:ONH196628 OWX196628:OXD196628 PGT196628:PGZ196628 PQP196628:PQV196628 QAL196628:QAR196628 QKH196628:QKN196628 QUD196628:QUJ196628 RDZ196628:REF196628 RNV196628:ROB196628 RXR196628:RXX196628 SHN196628:SHT196628 SRJ196628:SRP196628 TBF196628:TBL196628 TLB196628:TLH196628 TUX196628:TVD196628 UET196628:UEZ196628 UOP196628:UOV196628 UYL196628:UYR196628 VIH196628:VIN196628 VSD196628:VSJ196628 WBZ196628:WCF196628 WLV196628:WMB196628 WVR196628:WVX196628 J262164:P262164 JF262164:JL262164 TB262164:TH262164 ACX262164:ADD262164 AMT262164:AMZ262164 AWP262164:AWV262164 BGL262164:BGR262164 BQH262164:BQN262164 CAD262164:CAJ262164 CJZ262164:CKF262164 CTV262164:CUB262164 DDR262164:DDX262164 DNN262164:DNT262164 DXJ262164:DXP262164 EHF262164:EHL262164 ERB262164:ERH262164 FAX262164:FBD262164 FKT262164:FKZ262164 FUP262164:FUV262164 GEL262164:GER262164 GOH262164:GON262164 GYD262164:GYJ262164 HHZ262164:HIF262164 HRV262164:HSB262164 IBR262164:IBX262164 ILN262164:ILT262164 IVJ262164:IVP262164 JFF262164:JFL262164 JPB262164:JPH262164 JYX262164:JZD262164 KIT262164:KIZ262164 KSP262164:KSV262164 LCL262164:LCR262164 LMH262164:LMN262164 LWD262164:LWJ262164 MFZ262164:MGF262164 MPV262164:MQB262164 MZR262164:MZX262164 NJN262164:NJT262164 NTJ262164:NTP262164 ODF262164:ODL262164 ONB262164:ONH262164 OWX262164:OXD262164 PGT262164:PGZ262164 PQP262164:PQV262164 QAL262164:QAR262164 QKH262164:QKN262164 QUD262164:QUJ262164 RDZ262164:REF262164 RNV262164:ROB262164 RXR262164:RXX262164 SHN262164:SHT262164 SRJ262164:SRP262164 TBF262164:TBL262164 TLB262164:TLH262164 TUX262164:TVD262164 UET262164:UEZ262164 UOP262164:UOV262164 UYL262164:UYR262164 VIH262164:VIN262164 VSD262164:VSJ262164 WBZ262164:WCF262164 WLV262164:WMB262164 WVR262164:WVX262164 J327700:P327700 JF327700:JL327700 TB327700:TH327700 ACX327700:ADD327700 AMT327700:AMZ327700 AWP327700:AWV327700 BGL327700:BGR327700 BQH327700:BQN327700 CAD327700:CAJ327700 CJZ327700:CKF327700 CTV327700:CUB327700 DDR327700:DDX327700 DNN327700:DNT327700 DXJ327700:DXP327700 EHF327700:EHL327700 ERB327700:ERH327700 FAX327700:FBD327700 FKT327700:FKZ327700 FUP327700:FUV327700 GEL327700:GER327700 GOH327700:GON327700 GYD327700:GYJ327700 HHZ327700:HIF327700 HRV327700:HSB327700 IBR327700:IBX327700 ILN327700:ILT327700 IVJ327700:IVP327700 JFF327700:JFL327700 JPB327700:JPH327700 JYX327700:JZD327700 KIT327700:KIZ327700 KSP327700:KSV327700 LCL327700:LCR327700 LMH327700:LMN327700 LWD327700:LWJ327700 MFZ327700:MGF327700 MPV327700:MQB327700 MZR327700:MZX327700 NJN327700:NJT327700 NTJ327700:NTP327700 ODF327700:ODL327700 ONB327700:ONH327700 OWX327700:OXD327700 PGT327700:PGZ327700 PQP327700:PQV327700 QAL327700:QAR327700 QKH327700:QKN327700 QUD327700:QUJ327700 RDZ327700:REF327700 RNV327700:ROB327700 RXR327700:RXX327700 SHN327700:SHT327700 SRJ327700:SRP327700 TBF327700:TBL327700 TLB327700:TLH327700 TUX327700:TVD327700 UET327700:UEZ327700 UOP327700:UOV327700 UYL327700:UYR327700 VIH327700:VIN327700 VSD327700:VSJ327700 WBZ327700:WCF327700 WLV327700:WMB327700 WVR327700:WVX327700 J393236:P393236 JF393236:JL393236 TB393236:TH393236 ACX393236:ADD393236 AMT393236:AMZ393236 AWP393236:AWV393236 BGL393236:BGR393236 BQH393236:BQN393236 CAD393236:CAJ393236 CJZ393236:CKF393236 CTV393236:CUB393236 DDR393236:DDX393236 DNN393236:DNT393236 DXJ393236:DXP393236 EHF393236:EHL393236 ERB393236:ERH393236 FAX393236:FBD393236 FKT393236:FKZ393236 FUP393236:FUV393236 GEL393236:GER393236 GOH393236:GON393236 GYD393236:GYJ393236 HHZ393236:HIF393236 HRV393236:HSB393236 IBR393236:IBX393236 ILN393236:ILT393236 IVJ393236:IVP393236 JFF393236:JFL393236 JPB393236:JPH393236 JYX393236:JZD393236 KIT393236:KIZ393236 KSP393236:KSV393236 LCL393236:LCR393236 LMH393236:LMN393236 LWD393236:LWJ393236 MFZ393236:MGF393236 MPV393236:MQB393236 MZR393236:MZX393236 NJN393236:NJT393236 NTJ393236:NTP393236 ODF393236:ODL393236 ONB393236:ONH393236 OWX393236:OXD393236 PGT393236:PGZ393236 PQP393236:PQV393236 QAL393236:QAR393236 QKH393236:QKN393236 QUD393236:QUJ393236 RDZ393236:REF393236 RNV393236:ROB393236 RXR393236:RXX393236 SHN393236:SHT393236 SRJ393236:SRP393236 TBF393236:TBL393236 TLB393236:TLH393236 TUX393236:TVD393236 UET393236:UEZ393236 UOP393236:UOV393236 UYL393236:UYR393236 VIH393236:VIN393236 VSD393236:VSJ393236 WBZ393236:WCF393236 WLV393236:WMB393236 WVR393236:WVX393236 J458772:P458772 JF458772:JL458772 TB458772:TH458772 ACX458772:ADD458772 AMT458772:AMZ458772 AWP458772:AWV458772 BGL458772:BGR458772 BQH458772:BQN458772 CAD458772:CAJ458772 CJZ458772:CKF458772 CTV458772:CUB458772 DDR458772:DDX458772 DNN458772:DNT458772 DXJ458772:DXP458772 EHF458772:EHL458772 ERB458772:ERH458772 FAX458772:FBD458772 FKT458772:FKZ458772 FUP458772:FUV458772 GEL458772:GER458772 GOH458772:GON458772 GYD458772:GYJ458772 HHZ458772:HIF458772 HRV458772:HSB458772 IBR458772:IBX458772 ILN458772:ILT458772 IVJ458772:IVP458772 JFF458772:JFL458772 JPB458772:JPH458772 JYX458772:JZD458772 KIT458772:KIZ458772 KSP458772:KSV458772 LCL458772:LCR458772 LMH458772:LMN458772 LWD458772:LWJ458772 MFZ458772:MGF458772 MPV458772:MQB458772 MZR458772:MZX458772 NJN458772:NJT458772 NTJ458772:NTP458772 ODF458772:ODL458772 ONB458772:ONH458772 OWX458772:OXD458772 PGT458772:PGZ458772 PQP458772:PQV458772 QAL458772:QAR458772 QKH458772:QKN458772 QUD458772:QUJ458772 RDZ458772:REF458772 RNV458772:ROB458772 RXR458772:RXX458772 SHN458772:SHT458772 SRJ458772:SRP458772 TBF458772:TBL458772 TLB458772:TLH458772 TUX458772:TVD458772 UET458772:UEZ458772 UOP458772:UOV458772 UYL458772:UYR458772 VIH458772:VIN458772 VSD458772:VSJ458772 WBZ458772:WCF458772 WLV458772:WMB458772 WVR458772:WVX458772 J524308:P524308 JF524308:JL524308 TB524308:TH524308 ACX524308:ADD524308 AMT524308:AMZ524308 AWP524308:AWV524308 BGL524308:BGR524308 BQH524308:BQN524308 CAD524308:CAJ524308 CJZ524308:CKF524308 CTV524308:CUB524308 DDR524308:DDX524308 DNN524308:DNT524308 DXJ524308:DXP524308 EHF524308:EHL524308 ERB524308:ERH524308 FAX524308:FBD524308 FKT524308:FKZ524308 FUP524308:FUV524308 GEL524308:GER524308 GOH524308:GON524308 GYD524308:GYJ524308 HHZ524308:HIF524308 HRV524308:HSB524308 IBR524308:IBX524308 ILN524308:ILT524308 IVJ524308:IVP524308 JFF524308:JFL524308 JPB524308:JPH524308 JYX524308:JZD524308 KIT524308:KIZ524308 KSP524308:KSV524308 LCL524308:LCR524308 LMH524308:LMN524308 LWD524308:LWJ524308 MFZ524308:MGF524308 MPV524308:MQB524308 MZR524308:MZX524308 NJN524308:NJT524308 NTJ524308:NTP524308 ODF524308:ODL524308 ONB524308:ONH524308 OWX524308:OXD524308 PGT524308:PGZ524308 PQP524308:PQV524308 QAL524308:QAR524308 QKH524308:QKN524308 QUD524308:QUJ524308 RDZ524308:REF524308 RNV524308:ROB524308 RXR524308:RXX524308 SHN524308:SHT524308 SRJ524308:SRP524308 TBF524308:TBL524308 TLB524308:TLH524308 TUX524308:TVD524308 UET524308:UEZ524308 UOP524308:UOV524308 UYL524308:UYR524308 VIH524308:VIN524308 VSD524308:VSJ524308 WBZ524308:WCF524308 WLV524308:WMB524308 WVR524308:WVX524308 J589844:P589844 JF589844:JL589844 TB589844:TH589844 ACX589844:ADD589844 AMT589844:AMZ589844 AWP589844:AWV589844 BGL589844:BGR589844 BQH589844:BQN589844 CAD589844:CAJ589844 CJZ589844:CKF589844 CTV589844:CUB589844 DDR589844:DDX589844 DNN589844:DNT589844 DXJ589844:DXP589844 EHF589844:EHL589844 ERB589844:ERH589844 FAX589844:FBD589844 FKT589844:FKZ589844 FUP589844:FUV589844 GEL589844:GER589844 GOH589844:GON589844 GYD589844:GYJ589844 HHZ589844:HIF589844 HRV589844:HSB589844 IBR589844:IBX589844 ILN589844:ILT589844 IVJ589844:IVP589844 JFF589844:JFL589844 JPB589844:JPH589844 JYX589844:JZD589844 KIT589844:KIZ589844 KSP589844:KSV589844 LCL589844:LCR589844 LMH589844:LMN589844 LWD589844:LWJ589844 MFZ589844:MGF589844 MPV589844:MQB589844 MZR589844:MZX589844 NJN589844:NJT589844 NTJ589844:NTP589844 ODF589844:ODL589844 ONB589844:ONH589844 OWX589844:OXD589844 PGT589844:PGZ589844 PQP589844:PQV589844 QAL589844:QAR589844 QKH589844:QKN589844 QUD589844:QUJ589844 RDZ589844:REF589844 RNV589844:ROB589844 RXR589844:RXX589844 SHN589844:SHT589844 SRJ589844:SRP589844 TBF589844:TBL589844 TLB589844:TLH589844 TUX589844:TVD589844 UET589844:UEZ589844 UOP589844:UOV589844 UYL589844:UYR589844 VIH589844:VIN589844 VSD589844:VSJ589844 WBZ589844:WCF589844 WLV589844:WMB589844 WVR589844:WVX589844 J655380:P655380 JF655380:JL655380 TB655380:TH655380 ACX655380:ADD655380 AMT655380:AMZ655380 AWP655380:AWV655380 BGL655380:BGR655380 BQH655380:BQN655380 CAD655380:CAJ655380 CJZ655380:CKF655380 CTV655380:CUB655380 DDR655380:DDX655380 DNN655380:DNT655380 DXJ655380:DXP655380 EHF655380:EHL655380 ERB655380:ERH655380 FAX655380:FBD655380 FKT655380:FKZ655380 FUP655380:FUV655380 GEL655380:GER655380 GOH655380:GON655380 GYD655380:GYJ655380 HHZ655380:HIF655380 HRV655380:HSB655380 IBR655380:IBX655380 ILN655380:ILT655380 IVJ655380:IVP655380 JFF655380:JFL655380 JPB655380:JPH655380 JYX655380:JZD655380 KIT655380:KIZ655380 KSP655380:KSV655380 LCL655380:LCR655380 LMH655380:LMN655380 LWD655380:LWJ655380 MFZ655380:MGF655380 MPV655380:MQB655380 MZR655380:MZX655380 NJN655380:NJT655380 NTJ655380:NTP655380 ODF655380:ODL655380 ONB655380:ONH655380 OWX655380:OXD655380 PGT655380:PGZ655380 PQP655380:PQV655380 QAL655380:QAR655380 QKH655380:QKN655380 QUD655380:QUJ655380 RDZ655380:REF655380 RNV655380:ROB655380 RXR655380:RXX655380 SHN655380:SHT655380 SRJ655380:SRP655380 TBF655380:TBL655380 TLB655380:TLH655380 TUX655380:TVD655380 UET655380:UEZ655380 UOP655380:UOV655380 UYL655380:UYR655380 VIH655380:VIN655380 VSD655380:VSJ655380 WBZ655380:WCF655380 WLV655380:WMB655380 WVR655380:WVX655380 J720916:P720916 JF720916:JL720916 TB720916:TH720916 ACX720916:ADD720916 AMT720916:AMZ720916 AWP720916:AWV720916 BGL720916:BGR720916 BQH720916:BQN720916 CAD720916:CAJ720916 CJZ720916:CKF720916 CTV720916:CUB720916 DDR720916:DDX720916 DNN720916:DNT720916 DXJ720916:DXP720916 EHF720916:EHL720916 ERB720916:ERH720916 FAX720916:FBD720916 FKT720916:FKZ720916 FUP720916:FUV720916 GEL720916:GER720916 GOH720916:GON720916 GYD720916:GYJ720916 HHZ720916:HIF720916 HRV720916:HSB720916 IBR720916:IBX720916 ILN720916:ILT720916 IVJ720916:IVP720916 JFF720916:JFL720916 JPB720916:JPH720916 JYX720916:JZD720916 KIT720916:KIZ720916 KSP720916:KSV720916 LCL720916:LCR720916 LMH720916:LMN720916 LWD720916:LWJ720916 MFZ720916:MGF720916 MPV720916:MQB720916 MZR720916:MZX720916 NJN720916:NJT720916 NTJ720916:NTP720916 ODF720916:ODL720916 ONB720916:ONH720916 OWX720916:OXD720916 PGT720916:PGZ720916 PQP720916:PQV720916 QAL720916:QAR720916 QKH720916:QKN720916 QUD720916:QUJ720916 RDZ720916:REF720916 RNV720916:ROB720916 RXR720916:RXX720916 SHN720916:SHT720916 SRJ720916:SRP720916 TBF720916:TBL720916 TLB720916:TLH720916 TUX720916:TVD720916 UET720916:UEZ720916 UOP720916:UOV720916 UYL720916:UYR720916 VIH720916:VIN720916 VSD720916:VSJ720916 WBZ720916:WCF720916 WLV720916:WMB720916 WVR720916:WVX720916 J786452:P786452 JF786452:JL786452 TB786452:TH786452 ACX786452:ADD786452 AMT786452:AMZ786452 AWP786452:AWV786452 BGL786452:BGR786452 BQH786452:BQN786452 CAD786452:CAJ786452 CJZ786452:CKF786452 CTV786452:CUB786452 DDR786452:DDX786452 DNN786452:DNT786452 DXJ786452:DXP786452 EHF786452:EHL786452 ERB786452:ERH786452 FAX786452:FBD786452 FKT786452:FKZ786452 FUP786452:FUV786452 GEL786452:GER786452 GOH786452:GON786452 GYD786452:GYJ786452 HHZ786452:HIF786452 HRV786452:HSB786452 IBR786452:IBX786452 ILN786452:ILT786452 IVJ786452:IVP786452 JFF786452:JFL786452 JPB786452:JPH786452 JYX786452:JZD786452 KIT786452:KIZ786452 KSP786452:KSV786452 LCL786452:LCR786452 LMH786452:LMN786452 LWD786452:LWJ786452 MFZ786452:MGF786452 MPV786452:MQB786452 MZR786452:MZX786452 NJN786452:NJT786452 NTJ786452:NTP786452 ODF786452:ODL786452 ONB786452:ONH786452 OWX786452:OXD786452 PGT786452:PGZ786452 PQP786452:PQV786452 QAL786452:QAR786452 QKH786452:QKN786452 QUD786452:QUJ786452 RDZ786452:REF786452 RNV786452:ROB786452 RXR786452:RXX786452 SHN786452:SHT786452 SRJ786452:SRP786452 TBF786452:TBL786452 TLB786452:TLH786452 TUX786452:TVD786452 UET786452:UEZ786452 UOP786452:UOV786452 UYL786452:UYR786452 VIH786452:VIN786452 VSD786452:VSJ786452 WBZ786452:WCF786452 WLV786452:WMB786452 WVR786452:WVX786452 J851988:P851988 JF851988:JL851988 TB851988:TH851988 ACX851988:ADD851988 AMT851988:AMZ851988 AWP851988:AWV851988 BGL851988:BGR851988 BQH851988:BQN851988 CAD851988:CAJ851988 CJZ851988:CKF851988 CTV851988:CUB851988 DDR851988:DDX851988 DNN851988:DNT851988 DXJ851988:DXP851988 EHF851988:EHL851988 ERB851988:ERH851988 FAX851988:FBD851988 FKT851988:FKZ851988 FUP851988:FUV851988 GEL851988:GER851988 GOH851988:GON851988 GYD851988:GYJ851988 HHZ851988:HIF851988 HRV851988:HSB851988 IBR851988:IBX851988 ILN851988:ILT851988 IVJ851988:IVP851988 JFF851988:JFL851988 JPB851988:JPH851988 JYX851988:JZD851988 KIT851988:KIZ851988 KSP851988:KSV851988 LCL851988:LCR851988 LMH851988:LMN851988 LWD851988:LWJ851988 MFZ851988:MGF851988 MPV851988:MQB851988 MZR851988:MZX851988 NJN851988:NJT851988 NTJ851988:NTP851988 ODF851988:ODL851988 ONB851988:ONH851988 OWX851988:OXD851988 PGT851988:PGZ851988 PQP851988:PQV851988 QAL851988:QAR851988 QKH851988:QKN851988 QUD851988:QUJ851988 RDZ851988:REF851988 RNV851988:ROB851988 RXR851988:RXX851988 SHN851988:SHT851988 SRJ851988:SRP851988 TBF851988:TBL851988 TLB851988:TLH851988 TUX851988:TVD851988 UET851988:UEZ851988 UOP851988:UOV851988 UYL851988:UYR851988 VIH851988:VIN851988 VSD851988:VSJ851988 WBZ851988:WCF851988 WLV851988:WMB851988 WVR851988:WVX851988 J917524:P917524 JF917524:JL917524 TB917524:TH917524 ACX917524:ADD917524 AMT917524:AMZ917524 AWP917524:AWV917524 BGL917524:BGR917524 BQH917524:BQN917524 CAD917524:CAJ917524 CJZ917524:CKF917524 CTV917524:CUB917524 DDR917524:DDX917524 DNN917524:DNT917524 DXJ917524:DXP917524 EHF917524:EHL917524 ERB917524:ERH917524 FAX917524:FBD917524 FKT917524:FKZ917524 FUP917524:FUV917524 GEL917524:GER917524 GOH917524:GON917524 GYD917524:GYJ917524 HHZ917524:HIF917524 HRV917524:HSB917524 IBR917524:IBX917524 ILN917524:ILT917524 IVJ917524:IVP917524 JFF917524:JFL917524 JPB917524:JPH917524 JYX917524:JZD917524 KIT917524:KIZ917524 KSP917524:KSV917524 LCL917524:LCR917524 LMH917524:LMN917524 LWD917524:LWJ917524 MFZ917524:MGF917524 MPV917524:MQB917524 MZR917524:MZX917524 NJN917524:NJT917524 NTJ917524:NTP917524 ODF917524:ODL917524 ONB917524:ONH917524 OWX917524:OXD917524 PGT917524:PGZ917524 PQP917524:PQV917524 QAL917524:QAR917524 QKH917524:QKN917524 QUD917524:QUJ917524 RDZ917524:REF917524 RNV917524:ROB917524 RXR917524:RXX917524 SHN917524:SHT917524 SRJ917524:SRP917524 TBF917524:TBL917524 TLB917524:TLH917524 TUX917524:TVD917524 UET917524:UEZ917524 UOP917524:UOV917524 UYL917524:UYR917524 VIH917524:VIN917524 VSD917524:VSJ917524 WBZ917524:WCF917524 WLV917524:WMB917524 WVR917524:WVX917524 J983060:P983060 JF983060:JL983060 TB983060:TH983060 ACX983060:ADD983060 AMT983060:AMZ983060 AWP983060:AWV983060 BGL983060:BGR983060 BQH983060:BQN983060 CAD983060:CAJ983060 CJZ983060:CKF983060 CTV983060:CUB983060 DDR983060:DDX983060 DNN983060:DNT983060 DXJ983060:DXP983060 EHF983060:EHL983060 ERB983060:ERH983060 FAX983060:FBD983060 FKT983060:FKZ983060 FUP983060:FUV983060 GEL983060:GER983060 GOH983060:GON983060 GYD983060:GYJ983060 HHZ983060:HIF983060 HRV983060:HSB983060 IBR983060:IBX983060 ILN983060:ILT983060 IVJ983060:IVP983060 JFF983060:JFL983060 JPB983060:JPH983060 JYX983060:JZD983060 KIT983060:KIZ983060 KSP983060:KSV983060 LCL983060:LCR983060 LMH983060:LMN983060 LWD983060:LWJ983060 MFZ983060:MGF983060 MPV983060:MQB983060 MZR983060:MZX983060 NJN983060:NJT983060 NTJ983060:NTP983060 ODF983060:ODL983060 ONB983060:ONH983060 OWX983060:OXD983060 PGT983060:PGZ983060 PQP983060:PQV983060 QAL983060:QAR983060 QKH983060:QKN983060 QUD983060:QUJ983060 RDZ983060:REF983060 RNV983060:ROB983060 RXR983060:RXX983060 SHN983060:SHT983060 SRJ983060:SRP983060 TBF983060:TBL983060 TLB983060:TLH983060 TUX983060:TVD983060 UET983060:UEZ983060 UOP983060:UOV983060 UYL983060:UYR983060 VIH983060:VIN983060 VSD983060:VSJ983060 WBZ983060:WCF983060 WLV983060:WMB983060 WVR983060:WVX983060 R20 JN20 TJ20 ADF20 ANB20 AWX20 BGT20 BQP20 CAL20 CKH20 CUD20 DDZ20 DNV20 DXR20 EHN20 ERJ20 FBF20 FLB20 FUX20 GET20 GOP20 GYL20 HIH20 HSD20 IBZ20 ILV20 IVR20 JFN20 JPJ20 JZF20 KJB20 KSX20 LCT20 LMP20 LWL20 MGH20 MQD20 MZZ20 NJV20 NTR20 ODN20 ONJ20 OXF20 PHB20 PQX20 QAT20 QKP20 QUL20 REH20 ROD20 RXZ20 SHV20 SRR20 TBN20 TLJ20 TVF20 UFB20 UOX20 UYT20 VIP20 VSL20 WCH20 WMD20 WVZ20 R65556 JN65556 TJ65556 ADF65556 ANB65556 AWX65556 BGT65556 BQP65556 CAL65556 CKH65556 CUD65556 DDZ65556 DNV65556 DXR65556 EHN65556 ERJ65556 FBF65556 FLB65556 FUX65556 GET65556 GOP65556 GYL65556 HIH65556 HSD65556 IBZ65556 ILV65556 IVR65556 JFN65556 JPJ65556 JZF65556 KJB65556 KSX65556 LCT65556 LMP65556 LWL65556 MGH65556 MQD65556 MZZ65556 NJV65556 NTR65556 ODN65556 ONJ65556 OXF65556 PHB65556 PQX65556 QAT65556 QKP65556 QUL65556 REH65556 ROD65556 RXZ65556 SHV65556 SRR65556 TBN65556 TLJ65556 TVF65556 UFB65556 UOX65556 UYT65556 VIP65556 VSL65556 WCH65556 WMD65556 WVZ65556 R131092 JN131092 TJ131092 ADF131092 ANB131092 AWX131092 BGT131092 BQP131092 CAL131092 CKH131092 CUD131092 DDZ131092 DNV131092 DXR131092 EHN131092 ERJ131092 FBF131092 FLB131092 FUX131092 GET131092 GOP131092 GYL131092 HIH131092 HSD131092 IBZ131092 ILV131092 IVR131092 JFN131092 JPJ131092 JZF131092 KJB131092 KSX131092 LCT131092 LMP131092 LWL131092 MGH131092 MQD131092 MZZ131092 NJV131092 NTR131092 ODN131092 ONJ131092 OXF131092 PHB131092 PQX131092 QAT131092 QKP131092 QUL131092 REH131092 ROD131092 RXZ131092 SHV131092 SRR131092 TBN131092 TLJ131092 TVF131092 UFB131092 UOX131092 UYT131092 VIP131092 VSL131092 WCH131092 WMD131092 WVZ131092 R196628 JN196628 TJ196628 ADF196628 ANB196628 AWX196628 BGT196628 BQP196628 CAL196628 CKH196628 CUD196628 DDZ196628 DNV196628 DXR196628 EHN196628 ERJ196628 FBF196628 FLB196628 FUX196628 GET196628 GOP196628 GYL196628 HIH196628 HSD196628 IBZ196628 ILV196628 IVR196628 JFN196628 JPJ196628 JZF196628 KJB196628 KSX196628 LCT196628 LMP196628 LWL196628 MGH196628 MQD196628 MZZ196628 NJV196628 NTR196628 ODN196628 ONJ196628 OXF196628 PHB196628 PQX196628 QAT196628 QKP196628 QUL196628 REH196628 ROD196628 RXZ196628 SHV196628 SRR196628 TBN196628 TLJ196628 TVF196628 UFB196628 UOX196628 UYT196628 VIP196628 VSL196628 WCH196628 WMD196628 WVZ196628 R262164 JN262164 TJ262164 ADF262164 ANB262164 AWX262164 BGT262164 BQP262164 CAL262164 CKH262164 CUD262164 DDZ262164 DNV262164 DXR262164 EHN262164 ERJ262164 FBF262164 FLB262164 FUX262164 GET262164 GOP262164 GYL262164 HIH262164 HSD262164 IBZ262164 ILV262164 IVR262164 JFN262164 JPJ262164 JZF262164 KJB262164 KSX262164 LCT262164 LMP262164 LWL262164 MGH262164 MQD262164 MZZ262164 NJV262164 NTR262164 ODN262164 ONJ262164 OXF262164 PHB262164 PQX262164 QAT262164 QKP262164 QUL262164 REH262164 ROD262164 RXZ262164 SHV262164 SRR262164 TBN262164 TLJ262164 TVF262164 UFB262164 UOX262164 UYT262164 VIP262164 VSL262164 WCH262164 WMD262164 WVZ262164 R327700 JN327700 TJ327700 ADF327700 ANB327700 AWX327700 BGT327700 BQP327700 CAL327700 CKH327700 CUD327700 DDZ327700 DNV327700 DXR327700 EHN327700 ERJ327700 FBF327700 FLB327700 FUX327700 GET327700 GOP327700 GYL327700 HIH327700 HSD327700 IBZ327700 ILV327700 IVR327700 JFN327700 JPJ327700 JZF327700 KJB327700 KSX327700 LCT327700 LMP327700 LWL327700 MGH327700 MQD327700 MZZ327700 NJV327700 NTR327700 ODN327700 ONJ327700 OXF327700 PHB327700 PQX327700 QAT327700 QKP327700 QUL327700 REH327700 ROD327700 RXZ327700 SHV327700 SRR327700 TBN327700 TLJ327700 TVF327700 UFB327700 UOX327700 UYT327700 VIP327700 VSL327700 WCH327700 WMD327700 WVZ327700 R393236 JN393236 TJ393236 ADF393236 ANB393236 AWX393236 BGT393236 BQP393236 CAL393236 CKH393236 CUD393236 DDZ393236 DNV393236 DXR393236 EHN393236 ERJ393236 FBF393236 FLB393236 FUX393236 GET393236 GOP393236 GYL393236 HIH393236 HSD393236 IBZ393236 ILV393236 IVR393236 JFN393236 JPJ393236 JZF393236 KJB393236 KSX393236 LCT393236 LMP393236 LWL393236 MGH393236 MQD393236 MZZ393236 NJV393236 NTR393236 ODN393236 ONJ393236 OXF393236 PHB393236 PQX393236 QAT393236 QKP393236 QUL393236 REH393236 ROD393236 RXZ393236 SHV393236 SRR393236 TBN393236 TLJ393236 TVF393236 UFB393236 UOX393236 UYT393236 VIP393236 VSL393236 WCH393236 WMD393236 WVZ393236 R458772 JN458772 TJ458772 ADF458772 ANB458772 AWX458772 BGT458772 BQP458772 CAL458772 CKH458772 CUD458772 DDZ458772 DNV458772 DXR458772 EHN458772 ERJ458772 FBF458772 FLB458772 FUX458772 GET458772 GOP458772 GYL458772 HIH458772 HSD458772 IBZ458772 ILV458772 IVR458772 JFN458772 JPJ458772 JZF458772 KJB458772 KSX458772 LCT458772 LMP458772 LWL458772 MGH458772 MQD458772 MZZ458772 NJV458772 NTR458772 ODN458772 ONJ458772 OXF458772 PHB458772 PQX458772 QAT458772 QKP458772 QUL458772 REH458772 ROD458772 RXZ458772 SHV458772 SRR458772 TBN458772 TLJ458772 TVF458772 UFB458772 UOX458772 UYT458772 VIP458772 VSL458772 WCH458772 WMD458772 WVZ458772 R524308 JN524308 TJ524308 ADF524308 ANB524308 AWX524308 BGT524308 BQP524308 CAL524308 CKH524308 CUD524308 DDZ524308 DNV524308 DXR524308 EHN524308 ERJ524308 FBF524308 FLB524308 FUX524308 GET524308 GOP524308 GYL524308 HIH524308 HSD524308 IBZ524308 ILV524308 IVR524308 JFN524308 JPJ524308 JZF524308 KJB524308 KSX524308 LCT524308 LMP524308 LWL524308 MGH524308 MQD524308 MZZ524308 NJV524308 NTR524308 ODN524308 ONJ524308 OXF524308 PHB524308 PQX524308 QAT524308 QKP524308 QUL524308 REH524308 ROD524308 RXZ524308 SHV524308 SRR524308 TBN524308 TLJ524308 TVF524308 UFB524308 UOX524308 UYT524308 VIP524308 VSL524308 WCH524308 WMD524308 WVZ524308 R589844 JN589844 TJ589844 ADF589844 ANB589844 AWX589844 BGT589844 BQP589844 CAL589844 CKH589844 CUD589844 DDZ589844 DNV589844 DXR589844 EHN589844 ERJ589844 FBF589844 FLB589844 FUX589844 GET589844 GOP589844 GYL589844 HIH589844 HSD589844 IBZ589844 ILV589844 IVR589844 JFN589844 JPJ589844 JZF589844 KJB589844 KSX589844 LCT589844 LMP589844 LWL589844 MGH589844 MQD589844 MZZ589844 NJV589844 NTR589844 ODN589844 ONJ589844 OXF589844 PHB589844 PQX589844 QAT589844 QKP589844 QUL589844 REH589844 ROD589844 RXZ589844 SHV589844 SRR589844 TBN589844 TLJ589844 TVF589844 UFB589844 UOX589844 UYT589844 VIP589844 VSL589844 WCH589844 WMD589844 WVZ589844 R655380 JN655380 TJ655380 ADF655380 ANB655380 AWX655380 BGT655380 BQP655380 CAL655380 CKH655380 CUD655380 DDZ655380 DNV655380 DXR655380 EHN655380 ERJ655380 FBF655380 FLB655380 FUX655380 GET655380 GOP655380 GYL655380 HIH655380 HSD655380 IBZ655380 ILV655380 IVR655380 JFN655380 JPJ655380 JZF655380 KJB655380 KSX655380 LCT655380 LMP655380 LWL655380 MGH655380 MQD655380 MZZ655380 NJV655380 NTR655380 ODN655380 ONJ655380 OXF655380 PHB655380 PQX655380 QAT655380 QKP655380 QUL655380 REH655380 ROD655380 RXZ655380 SHV655380 SRR655380 TBN655380 TLJ655380 TVF655380 UFB655380 UOX655380 UYT655380 VIP655380 VSL655380 WCH655380 WMD655380 WVZ655380 R720916 JN720916 TJ720916 ADF720916 ANB720916 AWX720916 BGT720916 BQP720916 CAL720916 CKH720916 CUD720916 DDZ720916 DNV720916 DXR720916 EHN720916 ERJ720916 FBF720916 FLB720916 FUX720916 GET720916 GOP720916 GYL720916 HIH720916 HSD720916 IBZ720916 ILV720916 IVR720916 JFN720916 JPJ720916 JZF720916 KJB720916 KSX720916 LCT720916 LMP720916 LWL720916 MGH720916 MQD720916 MZZ720916 NJV720916 NTR720916 ODN720916 ONJ720916 OXF720916 PHB720916 PQX720916 QAT720916 QKP720916 QUL720916 REH720916 ROD720916 RXZ720916 SHV720916 SRR720916 TBN720916 TLJ720916 TVF720916 UFB720916 UOX720916 UYT720916 VIP720916 VSL720916 WCH720916 WMD720916 WVZ720916 R786452 JN786452 TJ786452 ADF786452 ANB786452 AWX786452 BGT786452 BQP786452 CAL786452 CKH786452 CUD786452 DDZ786452 DNV786452 DXR786452 EHN786452 ERJ786452 FBF786452 FLB786452 FUX786452 GET786452 GOP786452 GYL786452 HIH786452 HSD786452 IBZ786452 ILV786452 IVR786452 JFN786452 JPJ786452 JZF786452 KJB786452 KSX786452 LCT786452 LMP786452 LWL786452 MGH786452 MQD786452 MZZ786452 NJV786452 NTR786452 ODN786452 ONJ786452 OXF786452 PHB786452 PQX786452 QAT786452 QKP786452 QUL786452 REH786452 ROD786452 RXZ786452 SHV786452 SRR786452 TBN786452 TLJ786452 TVF786452 UFB786452 UOX786452 UYT786452 VIP786452 VSL786452 WCH786452 WMD786452 WVZ786452 R851988 JN851988 TJ851988 ADF851988 ANB851988 AWX851988 BGT851988 BQP851988 CAL851988 CKH851988 CUD851988 DDZ851988 DNV851988 DXR851988 EHN851988 ERJ851988 FBF851988 FLB851988 FUX851988 GET851988 GOP851988 GYL851988 HIH851988 HSD851988 IBZ851988 ILV851988 IVR851988 JFN851988 JPJ851988 JZF851988 KJB851988 KSX851988 LCT851988 LMP851988 LWL851988 MGH851988 MQD851988 MZZ851988 NJV851988 NTR851988 ODN851988 ONJ851988 OXF851988 PHB851988 PQX851988 QAT851988 QKP851988 QUL851988 REH851988 ROD851988 RXZ851988 SHV851988 SRR851988 TBN851988 TLJ851988 TVF851988 UFB851988 UOX851988 UYT851988 VIP851988 VSL851988 WCH851988 WMD851988 WVZ851988 R917524 JN917524 TJ917524 ADF917524 ANB917524 AWX917524 BGT917524 BQP917524 CAL917524 CKH917524 CUD917524 DDZ917524 DNV917524 DXR917524 EHN917524 ERJ917524 FBF917524 FLB917524 FUX917524 GET917524 GOP917524 GYL917524 HIH917524 HSD917524 IBZ917524 ILV917524 IVR917524 JFN917524 JPJ917524 JZF917524 KJB917524 KSX917524 LCT917524 LMP917524 LWL917524 MGH917524 MQD917524 MZZ917524 NJV917524 NTR917524 ODN917524 ONJ917524 OXF917524 PHB917524 PQX917524 QAT917524 QKP917524 QUL917524 REH917524 ROD917524 RXZ917524 SHV917524 SRR917524 TBN917524 TLJ917524 TVF917524 UFB917524 UOX917524 UYT917524 VIP917524 VSL917524 WCH917524 WMD917524 WVZ917524 R983060 JN983060 TJ983060 ADF983060 ANB983060 AWX983060 BGT983060 BQP983060 CAL983060 CKH983060 CUD983060 DDZ983060 DNV983060 DXR983060 EHN983060 ERJ983060 FBF983060 FLB983060 FUX983060 GET983060 GOP983060 GYL983060 HIH983060 HSD983060 IBZ983060 ILV983060 IVR983060 JFN983060 JPJ983060 JZF983060 KJB983060 KSX983060 LCT983060 LMP983060 LWL983060 MGH983060 MQD983060 MZZ983060 NJV983060 NTR983060 ODN983060 ONJ983060 OXF983060 PHB983060 PQX983060 QAT983060 QKP983060 QUL983060 REH983060 ROD983060 RXZ983060 SHV983060 SRR983060 TBN983060 TLJ983060 TVF983060 UFB983060 UOX983060 UYT983060 VIP983060 VSL983060 WCH983060 WMD983060 WVZ983060" xr:uid="{00000000-0002-0000-0300-000001000000}">
      <formula1>$BC$17:$BC$29</formula1>
    </dataValidation>
  </dataValidations>
  <printOptions horizontalCentered="1" verticalCentered="1"/>
  <pageMargins left="0.15748031496062992" right="0.39370078740157483" top="0.15748031496062992" bottom="0.15748031496062992" header="0.15748031496062992" footer="0.15748031496062992"/>
  <pageSetup paperSize="9" scale="79" orientation="portrait"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B21"/>
  <sheetViews>
    <sheetView showGridLines="0" topLeftCell="F1" zoomScale="85" zoomScaleNormal="85" workbookViewId="0">
      <selection activeCell="I33" sqref="I33"/>
    </sheetView>
  </sheetViews>
  <sheetFormatPr defaultRowHeight="14.25"/>
  <cols>
    <col min="1" max="1" width="1.625" style="2" customWidth="1"/>
    <col min="2" max="2" width="2.625" style="2" customWidth="1"/>
    <col min="3" max="3" width="4.625" style="2" customWidth="1"/>
    <col min="4" max="4" width="18.125" style="2" customWidth="1"/>
    <col min="5" max="5" width="2.625" style="2" customWidth="1"/>
    <col min="6" max="6" width="8.125" style="2" customWidth="1"/>
    <col min="7" max="7" width="24" style="2" bestFit="1" customWidth="1"/>
    <col min="8" max="8" width="2.625" style="2" customWidth="1"/>
    <col min="9" max="9" width="8.125" style="2" customWidth="1"/>
    <col min="10" max="10" width="16.625" style="2" customWidth="1"/>
    <col min="11" max="12" width="2.625" style="2" customWidth="1"/>
    <col min="13" max="14" width="4.625" style="2" customWidth="1"/>
    <col min="15" max="15" width="16.625" style="2" customWidth="1"/>
    <col min="16" max="18" width="2.625" style="2" customWidth="1"/>
    <col min="19" max="20" width="4.625" style="2" customWidth="1"/>
    <col min="21" max="21" width="16.625" style="2" customWidth="1"/>
    <col min="22" max="23" width="2.625" style="2" customWidth="1"/>
    <col min="24" max="24" width="2.625" style="57" customWidth="1"/>
    <col min="25" max="25" width="30.75" style="57" bestFit="1" customWidth="1"/>
    <col min="26" max="27" width="9" style="57"/>
    <col min="28" max="28" width="2.625" style="57" customWidth="1"/>
    <col min="29" max="16384" width="9" style="57"/>
  </cols>
  <sheetData>
    <row r="1" spans="3:28" ht="15" customHeight="1"/>
    <row r="3" spans="3:28">
      <c r="C3" s="58" t="s">
        <v>73</v>
      </c>
      <c r="D3" s="59"/>
      <c r="F3" s="58"/>
      <c r="G3" s="133" t="s">
        <v>72</v>
      </c>
      <c r="I3" s="58"/>
      <c r="J3" s="59" t="s">
        <v>141</v>
      </c>
      <c r="L3" s="125"/>
      <c r="M3" s="125"/>
      <c r="N3" s="125"/>
      <c r="O3" s="125"/>
      <c r="P3" s="125"/>
      <c r="R3" s="125"/>
      <c r="S3" s="125"/>
      <c r="T3" s="125"/>
      <c r="U3" s="125"/>
      <c r="V3" s="125"/>
      <c r="X3" s="125"/>
      <c r="Y3" s="125"/>
      <c r="Z3" s="125"/>
      <c r="AA3" s="125"/>
      <c r="AB3" s="125"/>
    </row>
    <row r="4" spans="3:28">
      <c r="C4" s="130">
        <v>1</v>
      </c>
      <c r="D4" s="60" t="s">
        <v>77</v>
      </c>
      <c r="F4" s="60" t="s">
        <v>0</v>
      </c>
      <c r="G4" s="60" t="s">
        <v>55</v>
      </c>
      <c r="I4" s="60" t="s">
        <v>128</v>
      </c>
      <c r="J4" s="60" t="str">
        <f>"2017-"&amp;I4&amp;"-"</f>
        <v>2017-ECU-</v>
      </c>
      <c r="N4" s="75"/>
      <c r="T4" s="75"/>
      <c r="X4" s="2"/>
      <c r="Y4" s="2"/>
      <c r="Z4" s="2"/>
      <c r="AA4" s="2" t="b">
        <v>1</v>
      </c>
      <c r="AB4" s="2"/>
    </row>
    <row r="5" spans="3:28">
      <c r="C5" s="131">
        <v>2</v>
      </c>
      <c r="D5" s="61" t="s">
        <v>78</v>
      </c>
      <c r="F5" s="61" t="s">
        <v>1</v>
      </c>
      <c r="G5" s="61" t="s">
        <v>169</v>
      </c>
      <c r="I5" s="61" t="s">
        <v>127</v>
      </c>
      <c r="J5" s="60" t="str">
        <f t="shared" ref="J5:J19" si="0">"2017-"&amp;I5&amp;"-"</f>
        <v>2017-FP-</v>
      </c>
      <c r="N5" s="75"/>
      <c r="T5" s="75"/>
      <c r="X5" s="2"/>
      <c r="Y5" s="2"/>
      <c r="Z5" s="2"/>
      <c r="AA5" s="2" t="b">
        <v>0</v>
      </c>
      <c r="AB5" s="2"/>
    </row>
    <row r="6" spans="3:28">
      <c r="C6" s="131">
        <v>3</v>
      </c>
      <c r="D6" s="61" t="s">
        <v>79</v>
      </c>
      <c r="F6" s="61" t="s">
        <v>2</v>
      </c>
      <c r="G6" s="61" t="s">
        <v>168</v>
      </c>
      <c r="I6" s="61" t="s">
        <v>126</v>
      </c>
      <c r="J6" s="60" t="str">
        <f t="shared" si="0"/>
        <v>2017-INJ-</v>
      </c>
      <c r="N6" s="75"/>
      <c r="T6" s="75"/>
      <c r="X6" s="2"/>
      <c r="Y6" s="2"/>
      <c r="Z6" s="2"/>
      <c r="AA6" s="2" t="b">
        <v>0</v>
      </c>
      <c r="AB6" s="2"/>
    </row>
    <row r="7" spans="3:28">
      <c r="C7" s="131">
        <v>4</v>
      </c>
      <c r="D7" s="61" t="s">
        <v>80</v>
      </c>
      <c r="F7" s="61" t="s">
        <v>3</v>
      </c>
      <c r="G7" s="61" t="s">
        <v>167</v>
      </c>
      <c r="I7" s="61" t="s">
        <v>130</v>
      </c>
      <c r="J7" s="60" t="str">
        <f t="shared" si="0"/>
        <v>2017-VCT-</v>
      </c>
      <c r="N7" s="75"/>
      <c r="T7" s="75"/>
      <c r="X7" s="2"/>
      <c r="Y7" s="2"/>
      <c r="Z7" s="2"/>
      <c r="AA7" s="2"/>
      <c r="AB7" s="2"/>
    </row>
    <row r="8" spans="3:28">
      <c r="C8" s="131">
        <v>5</v>
      </c>
      <c r="D8" s="61" t="s">
        <v>74</v>
      </c>
      <c r="F8" s="61" t="s">
        <v>4</v>
      </c>
      <c r="G8" s="61" t="s">
        <v>56</v>
      </c>
      <c r="I8" s="61" t="s">
        <v>131</v>
      </c>
      <c r="J8" s="60" t="str">
        <f t="shared" si="0"/>
        <v>2017-ETB-</v>
      </c>
      <c r="N8" s="75"/>
      <c r="T8" s="75"/>
      <c r="Y8" s="126"/>
      <c r="Z8" s="2"/>
      <c r="AA8" s="2"/>
    </row>
    <row r="9" spans="3:28">
      <c r="C9" s="131">
        <v>6</v>
      </c>
      <c r="D9" s="61" t="s">
        <v>76</v>
      </c>
      <c r="F9" s="61" t="s">
        <v>5</v>
      </c>
      <c r="G9" s="61" t="s">
        <v>57</v>
      </c>
      <c r="I9" s="61" t="s">
        <v>129</v>
      </c>
      <c r="J9" s="60" t="str">
        <f t="shared" si="0"/>
        <v>2017-O2-</v>
      </c>
      <c r="N9" s="75"/>
      <c r="T9" s="75"/>
      <c r="Y9" s="126"/>
      <c r="Z9" s="2"/>
      <c r="AA9" s="2"/>
    </row>
    <row r="10" spans="3:28">
      <c r="C10" s="131">
        <v>7</v>
      </c>
      <c r="D10" s="61"/>
      <c r="F10" s="61" t="s">
        <v>6</v>
      </c>
      <c r="G10" s="61" t="s">
        <v>170</v>
      </c>
      <c r="I10" s="61" t="s">
        <v>132</v>
      </c>
      <c r="J10" s="60" t="str">
        <f t="shared" si="0"/>
        <v>2017-CRS-</v>
      </c>
      <c r="N10" s="75"/>
      <c r="Y10" s="126"/>
      <c r="Z10" s="2"/>
      <c r="AA10" s="2"/>
    </row>
    <row r="11" spans="3:28">
      <c r="C11" s="131">
        <v>8</v>
      </c>
      <c r="D11" s="61"/>
      <c r="F11" s="61" t="s">
        <v>7</v>
      </c>
      <c r="G11" s="61" t="s">
        <v>58</v>
      </c>
      <c r="I11" s="61" t="s">
        <v>134</v>
      </c>
      <c r="J11" s="60" t="str">
        <f t="shared" si="0"/>
        <v>2017-MET-</v>
      </c>
      <c r="Y11" s="126"/>
      <c r="Z11" s="2"/>
      <c r="AA11" s="2"/>
    </row>
    <row r="12" spans="3:28">
      <c r="C12" s="131">
        <v>9</v>
      </c>
      <c r="D12" s="61"/>
      <c r="F12" s="61" t="s">
        <v>171</v>
      </c>
      <c r="G12" s="61" t="s">
        <v>172</v>
      </c>
      <c r="I12" s="61" t="s">
        <v>133</v>
      </c>
      <c r="J12" s="60" t="str">
        <f t="shared" si="0"/>
        <v>2017-TH-</v>
      </c>
      <c r="Y12" s="126"/>
      <c r="Z12" s="2"/>
      <c r="AA12" s="2"/>
    </row>
    <row r="13" spans="3:28">
      <c r="C13" s="131">
        <v>10</v>
      </c>
      <c r="D13" s="61"/>
      <c r="F13" s="61" t="s">
        <v>8</v>
      </c>
      <c r="G13" s="61" t="s">
        <v>59</v>
      </c>
      <c r="I13" s="61" t="s">
        <v>177</v>
      </c>
      <c r="J13" s="60" t="str">
        <f t="shared" si="0"/>
        <v>2017-EFM-</v>
      </c>
      <c r="Y13" s="126"/>
      <c r="Z13" s="2"/>
      <c r="AA13" s="2"/>
    </row>
    <row r="14" spans="3:28">
      <c r="C14" s="129"/>
      <c r="D14" s="61"/>
      <c r="F14" s="61" t="s">
        <v>68</v>
      </c>
      <c r="G14" s="61" t="s">
        <v>60</v>
      </c>
      <c r="I14" s="128" t="s">
        <v>178</v>
      </c>
      <c r="J14" s="60" t="str">
        <f t="shared" si="0"/>
        <v>2017-BLOWER-</v>
      </c>
      <c r="U14" s="127"/>
      <c r="Y14" s="126"/>
      <c r="Z14" s="2"/>
      <c r="AA14" s="2"/>
    </row>
    <row r="15" spans="3:28">
      <c r="C15" s="132"/>
      <c r="D15" s="62"/>
      <c r="F15" s="61" t="s">
        <v>67</v>
      </c>
      <c r="G15" s="61" t="s">
        <v>61</v>
      </c>
      <c r="I15" s="61" t="s">
        <v>179</v>
      </c>
      <c r="J15" s="60" t="str">
        <f t="shared" si="0"/>
        <v>2017-WIPER-</v>
      </c>
      <c r="Y15" s="126"/>
      <c r="Z15" s="2"/>
      <c r="AA15" s="2" t="b">
        <v>1</v>
      </c>
    </row>
    <row r="16" spans="3:28">
      <c r="F16" s="61" t="s">
        <v>63</v>
      </c>
      <c r="G16" s="61" t="s">
        <v>65</v>
      </c>
      <c r="I16" s="61" t="s">
        <v>180</v>
      </c>
      <c r="J16" s="60" t="str">
        <f t="shared" si="0"/>
        <v>2017-PW-</v>
      </c>
      <c r="Y16" s="126"/>
      <c r="Z16" s="2"/>
      <c r="AA16" s="2"/>
    </row>
    <row r="17" spans="3:27">
      <c r="F17" s="61" t="s">
        <v>9</v>
      </c>
      <c r="G17" s="61" t="s">
        <v>64</v>
      </c>
      <c r="I17" s="61" t="s">
        <v>181</v>
      </c>
      <c r="J17" s="60" t="str">
        <f t="shared" si="0"/>
        <v>2017-OTHERS-</v>
      </c>
      <c r="Y17" s="126"/>
      <c r="Z17" s="2"/>
      <c r="AA17" s="2"/>
    </row>
    <row r="18" spans="3:27">
      <c r="C18" s="8"/>
      <c r="D18" s="8"/>
      <c r="F18" s="61" t="s">
        <v>10</v>
      </c>
      <c r="G18" s="61" t="s">
        <v>66</v>
      </c>
      <c r="I18" s="61"/>
      <c r="J18" s="60" t="str">
        <f t="shared" si="0"/>
        <v>2017--</v>
      </c>
      <c r="Y18" s="126"/>
      <c r="Z18" s="2"/>
      <c r="AA18" s="2" t="b">
        <v>0</v>
      </c>
    </row>
    <row r="19" spans="3:27">
      <c r="F19" s="61" t="s">
        <v>11</v>
      </c>
      <c r="G19" s="61" t="s">
        <v>62</v>
      </c>
      <c r="I19" s="61"/>
      <c r="J19" s="60" t="str">
        <f t="shared" si="0"/>
        <v>2017--</v>
      </c>
      <c r="Y19" s="126"/>
      <c r="Z19" s="2"/>
      <c r="AA19" s="2"/>
    </row>
    <row r="20" spans="3:27">
      <c r="F20" s="61" t="s">
        <v>173</v>
      </c>
      <c r="G20" s="61" t="s">
        <v>75</v>
      </c>
      <c r="I20" s="62"/>
      <c r="J20" s="62"/>
      <c r="Y20" s="126"/>
      <c r="Z20" s="2"/>
      <c r="AA20" s="2" t="b">
        <v>0</v>
      </c>
    </row>
    <row r="21" spans="3:27">
      <c r="F21" s="62"/>
      <c r="G21" s="62"/>
      <c r="Y21" s="126"/>
      <c r="Z21" s="2"/>
      <c r="AA21" s="2" t="b">
        <v>0</v>
      </c>
    </row>
  </sheetData>
  <phoneticPr fontId="5"/>
  <pageMargins left="0.54" right="0.75" top="1" bottom="1" header="0.51200000000000001" footer="0.51200000000000001"/>
  <pageSetup paperSize="9" orientation="portrait" r:id="rId1"/>
  <headerFooter alignWithMargins="0">
    <oddHeader>&amp;A</oddHeader>
    <oddFooter>- &amp;P -</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AI63"/>
  <sheetViews>
    <sheetView showGridLines="0" zoomScaleNormal="100" workbookViewId="0">
      <selection activeCell="AE11" sqref="AE11"/>
    </sheetView>
  </sheetViews>
  <sheetFormatPr defaultRowHeight="13.5" customHeight="1"/>
  <cols>
    <col min="1" max="8" width="3.625" style="2" customWidth="1"/>
    <col min="9" max="9" width="5" style="2" customWidth="1"/>
    <col min="10" max="14" width="3.625" style="2" customWidth="1"/>
    <col min="15" max="15" width="4.5" style="2" customWidth="1"/>
    <col min="16" max="21" width="3.625" style="2" customWidth="1"/>
    <col min="22" max="22" width="4.25" style="2" customWidth="1"/>
    <col min="23" max="23" width="3.625" style="2" customWidth="1"/>
    <col min="24" max="24" width="4.75" style="2" customWidth="1"/>
    <col min="25" max="28" width="3.625" style="2" customWidth="1"/>
    <col min="29" max="29" width="2.375" style="2" customWidth="1"/>
    <col min="30" max="30" width="9" style="2"/>
    <col min="31" max="31" width="20.875" style="2" customWidth="1"/>
    <col min="32" max="32" width="10.625" style="139" customWidth="1"/>
    <col min="33" max="33" width="11.25" style="2" customWidth="1"/>
    <col min="34" max="16384" width="9" style="2"/>
  </cols>
  <sheetData>
    <row r="1" spans="2:35" ht="13.5" customHeight="1">
      <c r="F1" s="356" t="s">
        <v>69</v>
      </c>
      <c r="G1" s="356"/>
      <c r="H1" s="356"/>
      <c r="I1" s="356"/>
      <c r="J1" s="356"/>
      <c r="K1" s="356"/>
      <c r="L1" s="356"/>
      <c r="M1" s="356"/>
      <c r="N1" s="356"/>
      <c r="O1" s="356"/>
      <c r="P1" s="356"/>
      <c r="Q1" s="356"/>
      <c r="R1" s="356"/>
      <c r="S1" s="356"/>
      <c r="Y1" s="3"/>
      <c r="AA1" s="74" t="s">
        <v>97</v>
      </c>
    </row>
    <row r="2" spans="2:35" ht="6.95" customHeight="1">
      <c r="F2" s="356"/>
      <c r="G2" s="356"/>
      <c r="H2" s="356"/>
      <c r="I2" s="356"/>
      <c r="J2" s="356"/>
      <c r="K2" s="356"/>
      <c r="L2" s="356"/>
      <c r="M2" s="356"/>
      <c r="N2" s="356"/>
      <c r="O2" s="356"/>
      <c r="P2" s="356"/>
      <c r="Q2" s="356"/>
      <c r="R2" s="356"/>
      <c r="S2" s="356"/>
    </row>
    <row r="3" spans="2:35" ht="13.5" customHeight="1">
      <c r="F3" s="356"/>
      <c r="G3" s="356"/>
      <c r="H3" s="356"/>
      <c r="I3" s="356"/>
      <c r="J3" s="356"/>
      <c r="K3" s="356"/>
      <c r="L3" s="356"/>
      <c r="M3" s="356"/>
      <c r="N3" s="356"/>
      <c r="O3" s="356"/>
      <c r="P3" s="356"/>
      <c r="Q3" s="356"/>
      <c r="R3" s="356"/>
      <c r="S3" s="356"/>
    </row>
    <row r="4" spans="2:35" ht="13.5" customHeight="1">
      <c r="F4" s="63"/>
      <c r="G4" s="63"/>
      <c r="H4" s="63"/>
      <c r="I4" s="63"/>
      <c r="J4" s="63"/>
      <c r="K4" s="63"/>
      <c r="L4" s="63"/>
      <c r="M4" s="63"/>
      <c r="N4" s="63"/>
      <c r="O4" s="63"/>
      <c r="P4" s="63"/>
      <c r="Q4" s="63"/>
      <c r="R4" s="63"/>
      <c r="S4" s="63"/>
      <c r="W4" s="4" t="s">
        <v>104</v>
      </c>
      <c r="X4" s="536" t="s">
        <v>183</v>
      </c>
      <c r="Y4" s="342"/>
      <c r="Z4" s="342"/>
      <c r="AA4" s="342"/>
    </row>
    <row r="5" spans="2:35" ht="13.5" customHeight="1">
      <c r="P5" s="5" t="s">
        <v>136</v>
      </c>
      <c r="Q5" s="6"/>
      <c r="R5" s="5"/>
      <c r="S5" s="6"/>
      <c r="T5" s="537" t="s">
        <v>184</v>
      </c>
      <c r="U5" s="537"/>
      <c r="V5" s="537"/>
      <c r="W5" s="537"/>
      <c r="X5" s="537"/>
      <c r="Y5" s="537"/>
      <c r="Z5" s="6"/>
      <c r="AA5" s="14"/>
    </row>
    <row r="6" spans="2:35" ht="13.5" customHeight="1">
      <c r="N6" s="8"/>
      <c r="P6" s="10" t="s">
        <v>137</v>
      </c>
      <c r="Q6" s="11"/>
      <c r="R6" s="54"/>
      <c r="S6" s="11"/>
      <c r="T6" s="538" t="s">
        <v>185</v>
      </c>
      <c r="U6" s="538"/>
      <c r="V6" s="538"/>
      <c r="W6" s="538"/>
      <c r="X6" s="538"/>
      <c r="Y6" s="538"/>
      <c r="Z6" s="11"/>
      <c r="AA6" s="19"/>
    </row>
    <row r="7" spans="2:35" ht="12.6" customHeight="1">
      <c r="B7" s="5" t="s">
        <v>23</v>
      </c>
      <c r="C7" s="13"/>
      <c r="D7" s="13"/>
      <c r="E7" s="14"/>
      <c r="F7" s="390" t="s">
        <v>176</v>
      </c>
      <c r="G7" s="391"/>
      <c r="H7" s="391"/>
      <c r="I7" s="392"/>
      <c r="K7" s="16"/>
      <c r="L7" s="16"/>
      <c r="N7" s="16"/>
      <c r="O7" s="16"/>
      <c r="P7" s="322" t="s">
        <v>139</v>
      </c>
      <c r="Q7" s="323"/>
      <c r="R7" s="323"/>
      <c r="S7" s="324"/>
      <c r="T7" s="322" t="s">
        <v>138</v>
      </c>
      <c r="U7" s="323"/>
      <c r="V7" s="324"/>
      <c r="W7" s="322" t="s">
        <v>24</v>
      </c>
      <c r="X7" s="323"/>
      <c r="Y7" s="324"/>
      <c r="Z7" s="322" t="s">
        <v>140</v>
      </c>
      <c r="AA7" s="324"/>
    </row>
    <row r="8" spans="2:35" ht="12.6" customHeight="1">
      <c r="B8" s="9"/>
      <c r="C8" s="17"/>
      <c r="D8" s="17"/>
      <c r="E8" s="18"/>
      <c r="F8" s="9"/>
      <c r="G8" s="17"/>
      <c r="H8" s="17"/>
      <c r="I8" s="18"/>
      <c r="L8" s="17"/>
      <c r="P8" s="9"/>
      <c r="R8" s="72"/>
      <c r="S8" s="18"/>
      <c r="T8" s="9"/>
      <c r="V8" s="18"/>
      <c r="W8" s="9"/>
      <c r="Y8" s="18"/>
      <c r="AA8" s="18"/>
    </row>
    <row r="9" spans="2:35" ht="12.6" customHeight="1">
      <c r="B9" s="9"/>
      <c r="E9" s="18"/>
      <c r="F9" s="9"/>
      <c r="I9" s="18"/>
      <c r="P9" s="9"/>
      <c r="R9" s="72"/>
      <c r="S9" s="18"/>
      <c r="T9" s="9"/>
      <c r="V9" s="18"/>
      <c r="W9" s="9"/>
      <c r="Y9" s="18"/>
      <c r="AA9" s="18"/>
    </row>
    <row r="10" spans="2:35" ht="12.6" customHeight="1">
      <c r="B10" s="9"/>
      <c r="E10" s="18"/>
      <c r="F10" s="9"/>
      <c r="I10" s="18"/>
      <c r="P10" s="9"/>
      <c r="R10" s="72"/>
      <c r="S10" s="18"/>
      <c r="T10" s="9"/>
      <c r="V10" s="18"/>
      <c r="W10" s="9"/>
      <c r="Y10" s="18"/>
      <c r="AA10" s="18"/>
    </row>
    <row r="11" spans="2:35" ht="12.6" customHeight="1">
      <c r="B11" s="10"/>
      <c r="C11" s="11"/>
      <c r="D11" s="11"/>
      <c r="E11" s="19"/>
      <c r="F11" s="10"/>
      <c r="G11" s="11"/>
      <c r="H11" s="11"/>
      <c r="I11" s="19"/>
      <c r="J11" s="11"/>
      <c r="K11" s="11"/>
      <c r="L11" s="11"/>
      <c r="M11" s="11"/>
      <c r="N11" s="11"/>
      <c r="O11" s="11"/>
      <c r="P11" s="10"/>
      <c r="Q11" s="11"/>
      <c r="R11" s="73"/>
      <c r="S11" s="19"/>
      <c r="T11" s="10"/>
      <c r="U11" s="11"/>
      <c r="V11" s="19"/>
      <c r="W11" s="10"/>
      <c r="X11" s="11"/>
      <c r="Y11" s="19"/>
      <c r="Z11" s="11"/>
      <c r="AA11" s="19"/>
    </row>
    <row r="12" spans="2:35" ht="14.45" customHeight="1">
      <c r="B12" s="343" t="s">
        <v>18</v>
      </c>
      <c r="C12" s="5" t="s">
        <v>54</v>
      </c>
      <c r="D12" s="6"/>
      <c r="E12" s="55"/>
      <c r="F12" s="55"/>
      <c r="G12" s="326" t="s">
        <v>186</v>
      </c>
      <c r="H12" s="326"/>
      <c r="I12" s="326"/>
      <c r="J12" s="326"/>
      <c r="K12" s="326"/>
      <c r="L12" s="326"/>
      <c r="M12" s="327"/>
      <c r="N12" s="109" t="s">
        <v>143</v>
      </c>
      <c r="O12" s="55"/>
      <c r="P12" s="55"/>
      <c r="Q12" s="539" t="s">
        <v>187</v>
      </c>
      <c r="R12" s="539"/>
      <c r="S12" s="539"/>
      <c r="T12" s="540"/>
      <c r="U12" s="108" t="s">
        <v>141</v>
      </c>
      <c r="AA12" s="18"/>
    </row>
    <row r="13" spans="2:35" ht="20.100000000000001" customHeight="1">
      <c r="B13" s="344"/>
      <c r="C13" s="9"/>
      <c r="E13" s="56"/>
      <c r="F13" s="56"/>
      <c r="G13" s="329"/>
      <c r="H13" s="329"/>
      <c r="I13" s="329"/>
      <c r="J13" s="329"/>
      <c r="K13" s="329"/>
      <c r="L13" s="329"/>
      <c r="M13" s="330"/>
      <c r="N13" s="56"/>
      <c r="O13" s="56"/>
      <c r="P13" s="56"/>
      <c r="Q13" s="541"/>
      <c r="R13" s="541"/>
      <c r="S13" s="541"/>
      <c r="T13" s="542"/>
      <c r="U13" s="10"/>
      <c r="V13" s="388" t="s">
        <v>188</v>
      </c>
      <c r="W13" s="388"/>
      <c r="X13" s="388"/>
      <c r="Y13" s="388"/>
      <c r="Z13" s="386" t="s">
        <v>106</v>
      </c>
      <c r="AA13" s="387"/>
    </row>
    <row r="14" spans="2:35" ht="14.45" customHeight="1">
      <c r="B14" s="344"/>
      <c r="C14" s="5" t="s">
        <v>142</v>
      </c>
      <c r="D14" s="6"/>
      <c r="E14" s="6"/>
      <c r="F14" s="14"/>
      <c r="G14" s="5" t="s">
        <v>35</v>
      </c>
      <c r="H14" s="6"/>
      <c r="I14" s="6"/>
      <c r="J14" s="13"/>
      <c r="K14" s="6"/>
      <c r="L14" s="14"/>
      <c r="M14" s="5" t="s">
        <v>90</v>
      </c>
      <c r="N14" s="6"/>
      <c r="O14" s="347" t="s">
        <v>157</v>
      </c>
      <c r="P14" s="347"/>
      <c r="Q14" s="347"/>
      <c r="R14" s="347"/>
      <c r="S14" s="13" t="s">
        <v>50</v>
      </c>
      <c r="T14" s="347" t="s">
        <v>158</v>
      </c>
      <c r="U14" s="347"/>
      <c r="V14" s="347"/>
      <c r="W14" s="347"/>
      <c r="X14" s="6" t="s">
        <v>91</v>
      </c>
      <c r="Y14" s="114" t="s">
        <v>189</v>
      </c>
      <c r="Z14" s="114"/>
      <c r="AA14" s="115"/>
    </row>
    <row r="15" spans="2:35" ht="14.45" customHeight="1">
      <c r="B15" s="345"/>
      <c r="C15" s="20"/>
      <c r="D15" s="21">
        <v>1</v>
      </c>
      <c r="E15" s="12" t="s">
        <v>17</v>
      </c>
      <c r="F15" s="19"/>
      <c r="G15" s="10"/>
      <c r="H15" s="536" t="s">
        <v>190</v>
      </c>
      <c r="I15" s="342"/>
      <c r="J15" s="342"/>
      <c r="K15" s="342"/>
      <c r="L15" s="19"/>
      <c r="M15" s="10"/>
      <c r="N15" s="11"/>
      <c r="O15" s="65"/>
      <c r="P15" s="359"/>
      <c r="Q15" s="359"/>
      <c r="R15" s="11"/>
      <c r="S15" s="11"/>
      <c r="T15" s="65"/>
      <c r="U15" s="543"/>
      <c r="V15" s="543"/>
      <c r="W15" s="543"/>
      <c r="X15" s="543"/>
      <c r="Y15" s="543"/>
      <c r="Z15" s="11"/>
      <c r="AA15" s="19"/>
      <c r="AD15" s="51"/>
      <c r="AI15" s="51"/>
    </row>
    <row r="16" spans="2:35" ht="12.6" customHeight="1">
      <c r="B16" s="343" t="s">
        <v>16</v>
      </c>
      <c r="C16" s="5" t="s">
        <v>12</v>
      </c>
      <c r="D16" s="6"/>
      <c r="E16" s="6"/>
      <c r="F16" s="6"/>
      <c r="G16" s="14"/>
      <c r="H16" s="5" t="s">
        <v>13</v>
      </c>
      <c r="I16" s="6"/>
      <c r="J16" s="6"/>
      <c r="K16" s="6"/>
      <c r="L16" s="13"/>
      <c r="M16" s="15" t="s">
        <v>123</v>
      </c>
      <c r="N16" s="15"/>
      <c r="O16" s="6"/>
      <c r="P16" s="15" t="s">
        <v>15</v>
      </c>
      <c r="Q16" s="15"/>
      <c r="R16" s="6"/>
      <c r="S16" s="15"/>
      <c r="T16" s="15"/>
      <c r="U16" s="6"/>
      <c r="V16" s="6"/>
      <c r="W16" s="6"/>
      <c r="X16" s="6"/>
      <c r="Y16" s="15"/>
      <c r="Z16" s="15"/>
      <c r="AA16" s="14"/>
    </row>
    <row r="17" spans="2:33" ht="20.100000000000001" customHeight="1">
      <c r="B17" s="344"/>
      <c r="C17" s="545">
        <v>0</v>
      </c>
      <c r="D17" s="546"/>
      <c r="E17" s="546"/>
      <c r="F17" s="546"/>
      <c r="G17" s="22" t="s">
        <v>14</v>
      </c>
      <c r="H17" s="384">
        <v>3660</v>
      </c>
      <c r="I17" s="385"/>
      <c r="J17" s="385"/>
      <c r="K17" s="385"/>
      <c r="L17" s="102" t="s">
        <v>124</v>
      </c>
      <c r="M17" s="363">
        <v>2810</v>
      </c>
      <c r="N17" s="363"/>
      <c r="O17" s="102" t="s">
        <v>125</v>
      </c>
      <c r="P17" s="363">
        <v>850</v>
      </c>
      <c r="Q17" s="363"/>
      <c r="R17" s="102" t="s">
        <v>81</v>
      </c>
      <c r="S17" s="547"/>
      <c r="T17" s="547"/>
      <c r="U17" s="11"/>
      <c r="V17" s="547"/>
      <c r="W17" s="547"/>
      <c r="X17" s="65"/>
      <c r="Y17" s="547"/>
      <c r="Z17" s="547"/>
      <c r="AA17" s="19"/>
      <c r="AF17" s="140" t="s">
        <v>191</v>
      </c>
    </row>
    <row r="18" spans="2:33" ht="14.45" customHeight="1">
      <c r="B18" s="344"/>
      <c r="C18" s="5" t="s">
        <v>71</v>
      </c>
      <c r="D18" s="6"/>
      <c r="E18" s="6"/>
      <c r="F18" s="6"/>
      <c r="G18" s="14"/>
      <c r="H18" s="5" t="s">
        <v>70</v>
      </c>
      <c r="I18" s="6"/>
      <c r="J18" s="6"/>
      <c r="K18" s="6"/>
      <c r="L18" s="14"/>
      <c r="M18" s="5" t="s">
        <v>83</v>
      </c>
      <c r="N18" s="6"/>
      <c r="O18" s="6"/>
      <c r="P18" s="6"/>
      <c r="Q18" s="6"/>
      <c r="R18" s="23"/>
      <c r="S18" s="6" t="s">
        <v>85</v>
      </c>
      <c r="T18" s="6" t="s">
        <v>82</v>
      </c>
      <c r="U18" s="6"/>
      <c r="V18" s="548"/>
      <c r="W18" s="548"/>
      <c r="X18" s="548"/>
      <c r="Y18" s="548"/>
      <c r="Z18" s="548"/>
      <c r="AA18" s="14" t="s">
        <v>81</v>
      </c>
      <c r="AE18" s="2" t="s">
        <v>192</v>
      </c>
      <c r="AF18" s="139">
        <v>3660000</v>
      </c>
      <c r="AG18" s="4" t="s">
        <v>193</v>
      </c>
    </row>
    <row r="19" spans="2:33" ht="14.25" customHeight="1">
      <c r="B19" s="345"/>
      <c r="C19" s="360" t="s">
        <v>77</v>
      </c>
      <c r="D19" s="361"/>
      <c r="E19" s="361"/>
      <c r="F19" s="361"/>
      <c r="G19" s="362"/>
      <c r="H19" s="360" t="s">
        <v>194</v>
      </c>
      <c r="I19" s="361"/>
      <c r="J19" s="361"/>
      <c r="K19" s="361"/>
      <c r="L19" s="362"/>
      <c r="M19" s="54" t="s">
        <v>52</v>
      </c>
      <c r="N19" s="11"/>
      <c r="O19" s="11"/>
      <c r="P19" s="11"/>
      <c r="Q19" s="11"/>
      <c r="R19" s="7"/>
      <c r="S19" s="11" t="s">
        <v>84</v>
      </c>
      <c r="T19" s="11" t="s">
        <v>144</v>
      </c>
      <c r="U19" s="11"/>
      <c r="V19" s="11"/>
      <c r="W19" s="11"/>
      <c r="X19" s="11"/>
      <c r="Y19" s="11"/>
      <c r="Z19" s="11"/>
      <c r="AA19" s="19" t="s">
        <v>81</v>
      </c>
      <c r="AE19" s="2" t="s">
        <v>195</v>
      </c>
      <c r="AF19" s="139">
        <v>108.38</v>
      </c>
      <c r="AG19" s="4" t="s">
        <v>196</v>
      </c>
    </row>
    <row r="20" spans="2:33" ht="12.6" customHeight="1">
      <c r="B20" s="343" t="s">
        <v>19</v>
      </c>
      <c r="C20" s="135" t="s">
        <v>20</v>
      </c>
      <c r="D20" s="6"/>
      <c r="E20" s="6"/>
      <c r="F20" s="6"/>
      <c r="G20" s="6"/>
      <c r="H20" s="6"/>
      <c r="I20" s="6"/>
      <c r="J20" s="6"/>
      <c r="K20" s="6"/>
      <c r="L20" s="6"/>
      <c r="M20" s="6"/>
      <c r="N20" s="6"/>
      <c r="O20" s="6"/>
      <c r="P20" s="6"/>
      <c r="Q20" s="6"/>
      <c r="R20" s="5" t="s">
        <v>86</v>
      </c>
      <c r="S20" s="6"/>
      <c r="T20" s="6"/>
      <c r="U20" s="6"/>
      <c r="V20" s="6"/>
      <c r="W20" s="6"/>
      <c r="X20" s="6"/>
      <c r="Y20" s="6"/>
      <c r="Z20" s="6"/>
      <c r="AA20" s="14"/>
      <c r="AE20" s="2" t="s">
        <v>197</v>
      </c>
      <c r="AF20" s="139">
        <f>AF19*3600/36</f>
        <v>10838</v>
      </c>
      <c r="AG20" s="4" t="s">
        <v>198</v>
      </c>
    </row>
    <row r="21" spans="2:33" ht="13.5" customHeight="1">
      <c r="B21" s="344"/>
      <c r="C21" s="544" t="s">
        <v>199</v>
      </c>
      <c r="D21" s="334"/>
      <c r="E21" s="334"/>
      <c r="F21" s="334"/>
      <c r="G21" s="334"/>
      <c r="H21" s="334"/>
      <c r="I21" s="334"/>
      <c r="J21" s="334"/>
      <c r="K21" s="334"/>
      <c r="L21" s="334"/>
      <c r="M21" s="334"/>
      <c r="N21" s="334"/>
      <c r="O21" s="334"/>
      <c r="P21" s="334"/>
      <c r="Q21" s="335"/>
      <c r="R21" s="9"/>
      <c r="Z21" s="141"/>
      <c r="AA21" s="18"/>
      <c r="AE21" s="2" t="s">
        <v>200</v>
      </c>
      <c r="AF21" s="139">
        <f>AF20*41.02</f>
        <v>444574.76</v>
      </c>
      <c r="AG21" s="4" t="s">
        <v>201</v>
      </c>
    </row>
    <row r="22" spans="2:33" ht="13.5" customHeight="1">
      <c r="B22" s="344"/>
      <c r="C22" s="333"/>
      <c r="D22" s="334"/>
      <c r="E22" s="334"/>
      <c r="F22" s="334"/>
      <c r="G22" s="334"/>
      <c r="H22" s="334"/>
      <c r="I22" s="334"/>
      <c r="J22" s="334"/>
      <c r="K22" s="334"/>
      <c r="L22" s="334"/>
      <c r="M22" s="334"/>
      <c r="N22" s="334"/>
      <c r="O22" s="334"/>
      <c r="P22" s="334"/>
      <c r="Q22" s="335"/>
      <c r="R22" s="24"/>
      <c r="X22" s="25"/>
      <c r="AA22" s="18"/>
      <c r="AE22" s="2" t="s">
        <v>202</v>
      </c>
      <c r="AF22" s="139">
        <v>400000</v>
      </c>
      <c r="AG22" s="4" t="s">
        <v>203</v>
      </c>
    </row>
    <row r="23" spans="2:33" ht="13.5" customHeight="1">
      <c r="B23" s="344"/>
      <c r="C23" s="333"/>
      <c r="D23" s="334"/>
      <c r="E23" s="334"/>
      <c r="F23" s="334"/>
      <c r="G23" s="334"/>
      <c r="H23" s="334"/>
      <c r="I23" s="334"/>
      <c r="J23" s="334"/>
      <c r="K23" s="334"/>
      <c r="L23" s="334"/>
      <c r="M23" s="334"/>
      <c r="N23" s="334"/>
      <c r="O23" s="334"/>
      <c r="P23" s="334"/>
      <c r="Q23" s="335"/>
      <c r="R23" s="26"/>
      <c r="S23" s="27"/>
      <c r="T23" s="27"/>
      <c r="U23" s="27"/>
      <c r="V23" s="27"/>
      <c r="W23" s="27"/>
      <c r="X23" s="27"/>
      <c r="Y23" s="27"/>
      <c r="Z23" s="27"/>
      <c r="AA23" s="28"/>
      <c r="AE23" s="2" t="s">
        <v>204</v>
      </c>
      <c r="AF23" s="139" t="s">
        <v>205</v>
      </c>
    </row>
    <row r="24" spans="2:33" ht="13.5" customHeight="1">
      <c r="B24" s="344"/>
      <c r="C24" s="333"/>
      <c r="D24" s="334"/>
      <c r="E24" s="334"/>
      <c r="F24" s="334"/>
      <c r="G24" s="334"/>
      <c r="H24" s="334"/>
      <c r="I24" s="334"/>
      <c r="J24" s="334"/>
      <c r="K24" s="334"/>
      <c r="L24" s="334"/>
      <c r="M24" s="334"/>
      <c r="N24" s="334"/>
      <c r="O24" s="334"/>
      <c r="P24" s="334"/>
      <c r="Q24" s="335"/>
      <c r="R24" s="84"/>
      <c r="S24" s="27"/>
      <c r="T24" s="27"/>
      <c r="U24" s="27"/>
      <c r="V24" s="27"/>
      <c r="W24" s="27"/>
      <c r="X24" s="85"/>
      <c r="Y24" s="27"/>
      <c r="Z24" s="27"/>
      <c r="AA24" s="28"/>
      <c r="AE24" s="2" t="s">
        <v>204</v>
      </c>
      <c r="AF24" s="142">
        <f>AF18/(AF21+AF22)</f>
        <v>4.3335417695882841</v>
      </c>
      <c r="AG24" s="4" t="s">
        <v>206</v>
      </c>
    </row>
    <row r="25" spans="2:33" ht="13.5" customHeight="1">
      <c r="B25" s="344"/>
      <c r="C25" s="333"/>
      <c r="D25" s="334"/>
      <c r="E25" s="334"/>
      <c r="F25" s="334"/>
      <c r="G25" s="334"/>
      <c r="H25" s="334"/>
      <c r="I25" s="334"/>
      <c r="J25" s="334"/>
      <c r="K25" s="334"/>
      <c r="L25" s="334"/>
      <c r="M25" s="334"/>
      <c r="N25" s="334"/>
      <c r="O25" s="334"/>
      <c r="P25" s="334"/>
      <c r="Q25" s="335"/>
      <c r="R25" s="84"/>
      <c r="S25" s="27"/>
      <c r="T25" s="27"/>
      <c r="U25" s="27"/>
      <c r="V25" s="27"/>
      <c r="W25" s="27"/>
      <c r="X25" s="27"/>
      <c r="Y25" s="27"/>
      <c r="Z25" s="27"/>
      <c r="AA25" s="28"/>
    </row>
    <row r="26" spans="2:33" ht="13.5" customHeight="1">
      <c r="B26" s="344"/>
      <c r="C26" s="333"/>
      <c r="D26" s="334"/>
      <c r="E26" s="334"/>
      <c r="F26" s="334"/>
      <c r="G26" s="334"/>
      <c r="H26" s="334"/>
      <c r="I26" s="334"/>
      <c r="J26" s="334"/>
      <c r="K26" s="334"/>
      <c r="L26" s="334"/>
      <c r="M26" s="334"/>
      <c r="N26" s="334"/>
      <c r="O26" s="334"/>
      <c r="P26" s="334"/>
      <c r="Q26" s="335"/>
      <c r="R26" s="29"/>
      <c r="S26" s="27"/>
      <c r="T26" s="27"/>
      <c r="U26" s="27"/>
      <c r="V26" s="27"/>
      <c r="W26" s="27"/>
      <c r="X26" s="27"/>
      <c r="Y26" s="27"/>
      <c r="Z26" s="27"/>
      <c r="AA26" s="28"/>
    </row>
    <row r="27" spans="2:33" ht="13.5" customHeight="1">
      <c r="B27" s="344"/>
      <c r="C27" s="333"/>
      <c r="D27" s="334"/>
      <c r="E27" s="334"/>
      <c r="F27" s="334"/>
      <c r="G27" s="334"/>
      <c r="H27" s="334"/>
      <c r="I27" s="334"/>
      <c r="J27" s="334"/>
      <c r="K27" s="334"/>
      <c r="L27" s="334"/>
      <c r="M27" s="334"/>
      <c r="N27" s="334"/>
      <c r="O27" s="334"/>
      <c r="P27" s="334"/>
      <c r="Q27" s="335"/>
      <c r="R27" s="29"/>
      <c r="S27" s="27"/>
      <c r="T27" s="27"/>
      <c r="U27" s="27"/>
      <c r="V27" s="27"/>
      <c r="W27" s="27"/>
      <c r="X27" s="27"/>
      <c r="Y27" s="27"/>
      <c r="Z27" s="27"/>
      <c r="AA27" s="28"/>
    </row>
    <row r="28" spans="2:33" ht="13.5" customHeight="1">
      <c r="B28" s="344"/>
      <c r="C28" s="333"/>
      <c r="D28" s="334"/>
      <c r="E28" s="334"/>
      <c r="F28" s="334"/>
      <c r="G28" s="334"/>
      <c r="H28" s="334"/>
      <c r="I28" s="334"/>
      <c r="J28" s="334"/>
      <c r="K28" s="334"/>
      <c r="L28" s="334"/>
      <c r="M28" s="334"/>
      <c r="N28" s="334"/>
      <c r="O28" s="334"/>
      <c r="P28" s="334"/>
      <c r="Q28" s="335"/>
      <c r="R28" s="29"/>
      <c r="S28" s="27"/>
      <c r="T28" s="27"/>
      <c r="U28" s="27"/>
      <c r="V28" s="27"/>
      <c r="W28" s="27"/>
      <c r="X28" s="27"/>
      <c r="Y28" s="27"/>
      <c r="Z28" s="27"/>
      <c r="AA28" s="28"/>
    </row>
    <row r="29" spans="2:33" ht="13.5" customHeight="1">
      <c r="B29" s="344"/>
      <c r="C29" s="333"/>
      <c r="D29" s="334"/>
      <c r="E29" s="334"/>
      <c r="F29" s="334"/>
      <c r="G29" s="334"/>
      <c r="H29" s="334"/>
      <c r="I29" s="334"/>
      <c r="J29" s="334"/>
      <c r="K29" s="334"/>
      <c r="L29" s="334"/>
      <c r="M29" s="334"/>
      <c r="N29" s="334"/>
      <c r="O29" s="334"/>
      <c r="P29" s="334"/>
      <c r="Q29" s="335"/>
      <c r="R29" s="29"/>
      <c r="S29" s="27"/>
      <c r="T29" s="27"/>
      <c r="U29" s="27"/>
      <c r="V29" s="27"/>
      <c r="W29" s="27"/>
      <c r="X29" s="27"/>
      <c r="Y29" s="27"/>
      <c r="Z29" s="27"/>
      <c r="AA29" s="28"/>
    </row>
    <row r="30" spans="2:33" ht="13.5" customHeight="1">
      <c r="B30" s="344"/>
      <c r="C30" s="333"/>
      <c r="D30" s="334"/>
      <c r="E30" s="334"/>
      <c r="F30" s="334"/>
      <c r="G30" s="334"/>
      <c r="H30" s="334"/>
      <c r="I30" s="334"/>
      <c r="J30" s="334"/>
      <c r="K30" s="334"/>
      <c r="L30" s="334"/>
      <c r="M30" s="334"/>
      <c r="N30" s="334"/>
      <c r="O30" s="334"/>
      <c r="P30" s="334"/>
      <c r="Q30" s="335"/>
      <c r="R30" s="29"/>
      <c r="S30" s="27"/>
      <c r="T30" s="27"/>
      <c r="U30" s="27"/>
      <c r="V30" s="27"/>
      <c r="W30" s="27"/>
      <c r="X30" s="27"/>
      <c r="Y30" s="27"/>
      <c r="Z30" s="27"/>
      <c r="AA30" s="28"/>
    </row>
    <row r="31" spans="2:33" ht="13.5" customHeight="1">
      <c r="B31" s="344"/>
      <c r="C31" s="333"/>
      <c r="D31" s="334"/>
      <c r="E31" s="334"/>
      <c r="F31" s="334"/>
      <c r="G31" s="334"/>
      <c r="H31" s="334"/>
      <c r="I31" s="334"/>
      <c r="J31" s="334"/>
      <c r="K31" s="334"/>
      <c r="L31" s="334"/>
      <c r="M31" s="334"/>
      <c r="N31" s="334"/>
      <c r="O31" s="334"/>
      <c r="P31" s="334"/>
      <c r="Q31" s="335"/>
      <c r="R31" s="29"/>
      <c r="S31" s="27"/>
      <c r="T31" s="27"/>
      <c r="U31" s="27"/>
      <c r="V31" s="27"/>
      <c r="W31" s="27"/>
      <c r="X31" s="27"/>
      <c r="Y31" s="27"/>
      <c r="Z31" s="27"/>
      <c r="AA31" s="28"/>
    </row>
    <row r="32" spans="2:33" ht="13.5" customHeight="1">
      <c r="B32" s="344"/>
      <c r="C32" s="333"/>
      <c r="D32" s="334"/>
      <c r="E32" s="334"/>
      <c r="F32" s="334"/>
      <c r="G32" s="334"/>
      <c r="H32" s="334"/>
      <c r="I32" s="334"/>
      <c r="J32" s="334"/>
      <c r="K32" s="334"/>
      <c r="L32" s="334"/>
      <c r="M32" s="334"/>
      <c r="N32" s="334"/>
      <c r="O32" s="334"/>
      <c r="P32" s="334"/>
      <c r="Q32" s="335"/>
      <c r="R32" s="29"/>
      <c r="S32" s="27"/>
      <c r="T32" s="27"/>
      <c r="U32" s="27"/>
      <c r="V32" s="27"/>
      <c r="W32" s="27"/>
      <c r="X32" s="27"/>
      <c r="Y32" s="27"/>
      <c r="Z32" s="27"/>
      <c r="AA32" s="28"/>
    </row>
    <row r="33" spans="2:27" ht="13.5" customHeight="1">
      <c r="B33" s="344"/>
      <c r="C33" s="333"/>
      <c r="D33" s="334"/>
      <c r="E33" s="334"/>
      <c r="F33" s="334"/>
      <c r="G33" s="334"/>
      <c r="H33" s="334"/>
      <c r="I33" s="334"/>
      <c r="J33" s="334"/>
      <c r="K33" s="334"/>
      <c r="L33" s="334"/>
      <c r="M33" s="334"/>
      <c r="N33" s="334"/>
      <c r="O33" s="334"/>
      <c r="P33" s="334"/>
      <c r="Q33" s="335"/>
      <c r="R33" s="30"/>
      <c r="S33" s="31"/>
      <c r="T33" s="31"/>
      <c r="U33" s="31"/>
      <c r="V33" s="31"/>
      <c r="W33" s="31"/>
      <c r="X33" s="31"/>
      <c r="Y33" s="31"/>
      <c r="Z33" s="31"/>
      <c r="AA33" s="32"/>
    </row>
    <row r="34" spans="2:27" ht="13.5" customHeight="1">
      <c r="B34" s="345"/>
      <c r="C34" s="336"/>
      <c r="D34" s="337"/>
      <c r="E34" s="337"/>
      <c r="F34" s="337"/>
      <c r="G34" s="337"/>
      <c r="H34" s="337"/>
      <c r="I34" s="337"/>
      <c r="J34" s="337"/>
      <c r="K34" s="337"/>
      <c r="L34" s="337"/>
      <c r="M34" s="337"/>
      <c r="N34" s="337"/>
      <c r="O34" s="337"/>
      <c r="P34" s="337"/>
      <c r="Q34" s="338"/>
      <c r="R34" s="9" t="s">
        <v>87</v>
      </c>
      <c r="T34" s="412">
        <v>36</v>
      </c>
      <c r="U34" s="412"/>
      <c r="V34" s="17" t="s">
        <v>21</v>
      </c>
      <c r="W34" s="33" t="s">
        <v>145</v>
      </c>
      <c r="Y34" s="407">
        <v>85</v>
      </c>
      <c r="Z34" s="407"/>
      <c r="AA34" s="34" t="s">
        <v>22</v>
      </c>
    </row>
    <row r="35" spans="2:27" ht="12.6" customHeight="1">
      <c r="B35" s="343" t="s">
        <v>41</v>
      </c>
      <c r="C35" s="135" t="s">
        <v>40</v>
      </c>
      <c r="D35" s="6"/>
      <c r="E35" s="6"/>
      <c r="F35" s="6"/>
      <c r="G35" s="6"/>
      <c r="H35" s="6"/>
      <c r="I35" s="6"/>
      <c r="J35" s="6"/>
      <c r="K35" s="6"/>
      <c r="L35" s="6"/>
      <c r="M35" s="6"/>
      <c r="N35" s="6"/>
      <c r="O35" s="6"/>
      <c r="P35" s="6"/>
      <c r="Q35" s="14"/>
      <c r="R35" s="5" t="s">
        <v>37</v>
      </c>
      <c r="S35" s="6"/>
      <c r="T35" s="6"/>
      <c r="U35" s="6"/>
      <c r="V35" s="6"/>
      <c r="W35" s="6"/>
      <c r="X35" s="6"/>
      <c r="Y35" s="6"/>
      <c r="Z35" s="6"/>
      <c r="AA35" s="14"/>
    </row>
    <row r="36" spans="2:27" ht="13.5" customHeight="1">
      <c r="B36" s="344"/>
      <c r="C36" s="549" t="s">
        <v>207</v>
      </c>
      <c r="D36" s="550"/>
      <c r="E36" s="550"/>
      <c r="F36" s="550"/>
      <c r="G36" s="550"/>
      <c r="H36" s="550"/>
      <c r="I36" s="550"/>
      <c r="J36" s="550"/>
      <c r="K36" s="550"/>
      <c r="L36" s="550"/>
      <c r="M36" s="550"/>
      <c r="N36" s="550"/>
      <c r="O36" s="550"/>
      <c r="P36" s="550"/>
      <c r="Q36" s="551"/>
      <c r="R36" s="9" t="s">
        <v>135</v>
      </c>
      <c r="S36" s="35" t="s">
        <v>38</v>
      </c>
      <c r="T36" s="36"/>
      <c r="U36" s="111"/>
      <c r="V36" s="106" t="s">
        <v>208</v>
      </c>
      <c r="W36" s="106"/>
      <c r="X36" s="106"/>
      <c r="Y36" s="106"/>
      <c r="Z36" s="106"/>
      <c r="AA36" s="107"/>
    </row>
    <row r="37" spans="2:27" ht="13.5" customHeight="1">
      <c r="B37" s="344"/>
      <c r="C37" s="552"/>
      <c r="D37" s="550"/>
      <c r="E37" s="550"/>
      <c r="F37" s="550"/>
      <c r="G37" s="550"/>
      <c r="H37" s="550"/>
      <c r="I37" s="550"/>
      <c r="J37" s="550"/>
      <c r="K37" s="550"/>
      <c r="L37" s="550"/>
      <c r="M37" s="550"/>
      <c r="N37" s="550"/>
      <c r="O37" s="550"/>
      <c r="P37" s="550"/>
      <c r="Q37" s="551"/>
      <c r="R37" s="37"/>
      <c r="S37" s="38" t="s">
        <v>39</v>
      </c>
      <c r="T37" s="39"/>
      <c r="U37" s="111"/>
      <c r="V37" s="106"/>
      <c r="W37" s="106"/>
      <c r="X37" s="106"/>
      <c r="Y37" s="106"/>
      <c r="Z37" s="106"/>
      <c r="AA37" s="107"/>
    </row>
    <row r="38" spans="2:27" ht="13.5" customHeight="1">
      <c r="B38" s="344"/>
      <c r="C38" s="552"/>
      <c r="D38" s="550"/>
      <c r="E38" s="550"/>
      <c r="F38" s="550"/>
      <c r="G38" s="550"/>
      <c r="H38" s="550"/>
      <c r="I38" s="550"/>
      <c r="J38" s="550"/>
      <c r="K38" s="550"/>
      <c r="L38" s="550"/>
      <c r="M38" s="550"/>
      <c r="N38" s="550"/>
      <c r="O38" s="550"/>
      <c r="P38" s="550"/>
      <c r="Q38" s="551"/>
      <c r="R38" s="64" t="s">
        <v>146</v>
      </c>
      <c r="U38" s="110"/>
      <c r="V38" s="331" t="s">
        <v>209</v>
      </c>
      <c r="W38" s="331"/>
      <c r="X38" s="331"/>
      <c r="Y38" s="331"/>
      <c r="Z38" s="331"/>
      <c r="AA38" s="332"/>
    </row>
    <row r="39" spans="2:27" ht="13.5" customHeight="1">
      <c r="B39" s="344"/>
      <c r="C39" s="552"/>
      <c r="D39" s="550"/>
      <c r="E39" s="550"/>
      <c r="F39" s="550"/>
      <c r="G39" s="550"/>
      <c r="H39" s="550"/>
      <c r="I39" s="550"/>
      <c r="J39" s="550"/>
      <c r="K39" s="550"/>
      <c r="L39" s="550"/>
      <c r="M39" s="550"/>
      <c r="N39" s="550"/>
      <c r="O39" s="550"/>
      <c r="P39" s="550"/>
      <c r="Q39" s="551"/>
      <c r="R39" s="5" t="s">
        <v>53</v>
      </c>
      <c r="S39" s="6"/>
      <c r="T39" s="6"/>
      <c r="U39" s="6"/>
      <c r="V39" s="6"/>
      <c r="W39" s="6"/>
      <c r="X39" s="6"/>
      <c r="Y39" s="6"/>
      <c r="Z39" s="6"/>
      <c r="AA39" s="14"/>
    </row>
    <row r="40" spans="2:27" ht="13.5" customHeight="1">
      <c r="B40" s="344"/>
      <c r="C40" s="552"/>
      <c r="D40" s="550"/>
      <c r="E40" s="550"/>
      <c r="F40" s="550"/>
      <c r="G40" s="550"/>
      <c r="H40" s="550"/>
      <c r="I40" s="550"/>
      <c r="J40" s="550"/>
      <c r="K40" s="550"/>
      <c r="L40" s="550"/>
      <c r="M40" s="550"/>
      <c r="N40" s="550"/>
      <c r="O40" s="550"/>
      <c r="P40" s="550"/>
      <c r="Q40" s="551"/>
      <c r="R40" s="10"/>
      <c r="S40" s="7"/>
      <c r="T40" s="12" t="s">
        <v>25</v>
      </c>
      <c r="U40" s="12"/>
      <c r="V40" s="7"/>
      <c r="W40" s="11" t="s">
        <v>26</v>
      </c>
      <c r="X40" s="11"/>
      <c r="Y40" s="11"/>
      <c r="Z40" s="11"/>
      <c r="AA40" s="19"/>
    </row>
    <row r="41" spans="2:27" ht="13.5" customHeight="1">
      <c r="B41" s="344"/>
      <c r="C41" s="552"/>
      <c r="D41" s="550"/>
      <c r="E41" s="550"/>
      <c r="F41" s="550"/>
      <c r="G41" s="550"/>
      <c r="H41" s="550"/>
      <c r="I41" s="550"/>
      <c r="J41" s="550"/>
      <c r="K41" s="550"/>
      <c r="L41" s="550"/>
      <c r="M41" s="550"/>
      <c r="N41" s="550"/>
      <c r="O41" s="550"/>
      <c r="P41" s="550"/>
      <c r="Q41" s="551"/>
      <c r="R41" s="9" t="s">
        <v>27</v>
      </c>
      <c r="AA41" s="18"/>
    </row>
    <row r="42" spans="2:27" ht="13.5" customHeight="1">
      <c r="B42" s="344"/>
      <c r="C42" s="553"/>
      <c r="D42" s="554"/>
      <c r="E42" s="554"/>
      <c r="F42" s="554"/>
      <c r="G42" s="554"/>
      <c r="H42" s="554"/>
      <c r="I42" s="554"/>
      <c r="J42" s="554"/>
      <c r="K42" s="554"/>
      <c r="L42" s="554"/>
      <c r="M42" s="554"/>
      <c r="N42" s="554"/>
      <c r="O42" s="554"/>
      <c r="P42" s="554"/>
      <c r="Q42" s="555"/>
      <c r="R42" s="10" t="s">
        <v>36</v>
      </c>
      <c r="S42" s="11"/>
      <c r="T42" s="11"/>
      <c r="U42" s="341"/>
      <c r="V42" s="341"/>
      <c r="W42" s="11" t="s">
        <v>28</v>
      </c>
      <c r="X42" s="50" t="s">
        <v>30</v>
      </c>
      <c r="Y42" s="340"/>
      <c r="Z42" s="340"/>
      <c r="AA42" s="19" t="s">
        <v>29</v>
      </c>
    </row>
    <row r="43" spans="2:27" ht="12.6" customHeight="1">
      <c r="B43" s="344"/>
      <c r="C43" s="135" t="s">
        <v>147</v>
      </c>
      <c r="D43" s="6"/>
      <c r="E43" s="6"/>
      <c r="F43" s="6"/>
      <c r="G43" s="6"/>
      <c r="H43" s="6"/>
      <c r="I43" s="6"/>
      <c r="J43" s="6"/>
      <c r="K43" s="6"/>
      <c r="L43" s="6"/>
      <c r="M43" s="6"/>
      <c r="N43" s="6"/>
      <c r="O43" s="6"/>
      <c r="P43" s="6"/>
      <c r="Q43" s="14"/>
      <c r="R43" s="5" t="s">
        <v>152</v>
      </c>
      <c r="S43" s="6"/>
      <c r="T43" s="6"/>
      <c r="U43" s="6"/>
      <c r="V43" s="6"/>
      <c r="W43" s="6"/>
      <c r="X43" s="6"/>
      <c r="Y43" s="6"/>
      <c r="Z43" s="6"/>
      <c r="AA43" s="14"/>
    </row>
    <row r="44" spans="2:27" ht="13.5" customHeight="1">
      <c r="B44" s="344"/>
      <c r="C44" s="556" t="s">
        <v>210</v>
      </c>
      <c r="D44" s="557"/>
      <c r="E44" s="557"/>
      <c r="F44" s="557"/>
      <c r="G44" s="557"/>
      <c r="H44" s="557"/>
      <c r="I44" s="557"/>
      <c r="J44" s="557"/>
      <c r="K44" s="557"/>
      <c r="L44" s="557"/>
      <c r="M44" s="557"/>
      <c r="N44" s="557"/>
      <c r="O44" s="557"/>
      <c r="P44" s="557"/>
      <c r="Q44" s="558"/>
      <c r="R44" s="9"/>
      <c r="S44" s="40"/>
      <c r="T44" s="2" t="s">
        <v>33</v>
      </c>
      <c r="AA44" s="18"/>
    </row>
    <row r="45" spans="2:27" ht="13.5" customHeight="1">
      <c r="B45" s="344"/>
      <c r="C45" s="556"/>
      <c r="D45" s="557"/>
      <c r="E45" s="557"/>
      <c r="F45" s="557"/>
      <c r="G45" s="557"/>
      <c r="H45" s="557"/>
      <c r="I45" s="557"/>
      <c r="J45" s="557"/>
      <c r="K45" s="557"/>
      <c r="L45" s="557"/>
      <c r="M45" s="557"/>
      <c r="N45" s="557"/>
      <c r="O45" s="557"/>
      <c r="P45" s="557"/>
      <c r="Q45" s="558"/>
      <c r="R45" s="10"/>
      <c r="S45" s="7"/>
      <c r="T45" s="11" t="s">
        <v>32</v>
      </c>
      <c r="U45" s="11"/>
      <c r="V45" s="11"/>
      <c r="W45" s="11"/>
      <c r="X45" s="12"/>
      <c r="Y45" s="7"/>
      <c r="Z45" s="11" t="s">
        <v>31</v>
      </c>
      <c r="AA45" s="19"/>
    </row>
    <row r="46" spans="2:27" ht="13.5" customHeight="1">
      <c r="B46" s="344"/>
      <c r="C46" s="556"/>
      <c r="D46" s="557"/>
      <c r="E46" s="557"/>
      <c r="F46" s="557"/>
      <c r="G46" s="557"/>
      <c r="H46" s="557"/>
      <c r="I46" s="557"/>
      <c r="J46" s="557"/>
      <c r="K46" s="557"/>
      <c r="L46" s="557"/>
      <c r="M46" s="557"/>
      <c r="N46" s="557"/>
      <c r="O46" s="557"/>
      <c r="P46" s="557"/>
      <c r="Q46" s="558"/>
      <c r="R46" s="333" t="s">
        <v>34</v>
      </c>
      <c r="S46" s="334"/>
      <c r="T46" s="334"/>
      <c r="U46" s="334"/>
      <c r="V46" s="334"/>
      <c r="W46" s="334"/>
      <c r="X46" s="334"/>
      <c r="Y46" s="334"/>
      <c r="Z46" s="334"/>
      <c r="AA46" s="335"/>
    </row>
    <row r="47" spans="2:27" ht="13.5" customHeight="1">
      <c r="B47" s="344"/>
      <c r="C47" s="556"/>
      <c r="D47" s="557"/>
      <c r="E47" s="557"/>
      <c r="F47" s="557"/>
      <c r="G47" s="557"/>
      <c r="H47" s="557"/>
      <c r="I47" s="557"/>
      <c r="J47" s="557"/>
      <c r="K47" s="557"/>
      <c r="L47" s="557"/>
      <c r="M47" s="557"/>
      <c r="N47" s="557"/>
      <c r="O47" s="557"/>
      <c r="P47" s="557"/>
      <c r="Q47" s="558"/>
      <c r="R47" s="333"/>
      <c r="S47" s="334"/>
      <c r="T47" s="334"/>
      <c r="U47" s="334"/>
      <c r="V47" s="334"/>
      <c r="W47" s="334"/>
      <c r="X47" s="334"/>
      <c r="Y47" s="334"/>
      <c r="Z47" s="334"/>
      <c r="AA47" s="335"/>
    </row>
    <row r="48" spans="2:27" ht="13.5" customHeight="1">
      <c r="B48" s="345"/>
      <c r="C48" s="559"/>
      <c r="D48" s="560"/>
      <c r="E48" s="560"/>
      <c r="F48" s="560"/>
      <c r="G48" s="560"/>
      <c r="H48" s="560"/>
      <c r="I48" s="560"/>
      <c r="J48" s="560"/>
      <c r="K48" s="560"/>
      <c r="L48" s="560"/>
      <c r="M48" s="560"/>
      <c r="N48" s="560"/>
      <c r="O48" s="560"/>
      <c r="P48" s="560"/>
      <c r="Q48" s="561"/>
      <c r="R48" s="336"/>
      <c r="S48" s="337"/>
      <c r="T48" s="337"/>
      <c r="U48" s="337"/>
      <c r="V48" s="337"/>
      <c r="W48" s="337"/>
      <c r="X48" s="337"/>
      <c r="Y48" s="337"/>
      <c r="Z48" s="337"/>
      <c r="AA48" s="338"/>
    </row>
    <row r="49" spans="2:27" ht="14.1" customHeight="1">
      <c r="B49" s="343" t="s">
        <v>43</v>
      </c>
      <c r="C49" s="5" t="s">
        <v>51</v>
      </c>
      <c r="D49" s="6"/>
      <c r="E49" s="6"/>
      <c r="F49" s="6"/>
      <c r="G49" s="6"/>
      <c r="H49" s="6"/>
      <c r="I49" s="6"/>
      <c r="J49" s="6"/>
      <c r="K49" s="5" t="s">
        <v>49</v>
      </c>
      <c r="L49" s="6"/>
      <c r="M49" s="6"/>
      <c r="N49" s="6"/>
      <c r="O49" s="6"/>
      <c r="P49" s="6"/>
      <c r="Q49" s="6"/>
      <c r="R49" s="6"/>
      <c r="S49" s="6"/>
      <c r="T49" s="6"/>
      <c r="U49" s="6"/>
      <c r="V49" s="6"/>
      <c r="W49" s="6"/>
      <c r="X49" s="6"/>
      <c r="Y49" s="6"/>
      <c r="Z49" s="6"/>
      <c r="AA49" s="14"/>
    </row>
    <row r="50" spans="2:27" ht="14.1" customHeight="1">
      <c r="B50" s="344"/>
      <c r="C50" s="9"/>
      <c r="D50" s="16"/>
      <c r="E50" s="17" t="s">
        <v>44</v>
      </c>
      <c r="F50" s="16"/>
      <c r="H50" s="357">
        <v>4.33</v>
      </c>
      <c r="I50" s="358"/>
      <c r="K50" s="70" t="s">
        <v>155</v>
      </c>
      <c r="N50" s="339"/>
      <c r="O50" s="339"/>
      <c r="P50" s="2" t="s">
        <v>42</v>
      </c>
      <c r="R50" s="399"/>
      <c r="S50" s="399"/>
      <c r="T50" s="53" t="s">
        <v>48</v>
      </c>
      <c r="W50" s="4" t="s">
        <v>89</v>
      </c>
      <c r="X50" s="400"/>
      <c r="Y50" s="400"/>
      <c r="Z50" s="41"/>
      <c r="AA50" s="18"/>
    </row>
    <row r="51" spans="2:27" ht="14.1" customHeight="1">
      <c r="B51" s="344"/>
      <c r="C51" s="9"/>
      <c r="D51" s="42"/>
      <c r="E51" s="52" t="s">
        <v>45</v>
      </c>
      <c r="F51" s="42"/>
      <c r="H51" s="10"/>
      <c r="I51" s="86" t="s">
        <v>47</v>
      </c>
      <c r="K51" s="70" t="s">
        <v>154</v>
      </c>
      <c r="N51" s="339"/>
      <c r="O51" s="339"/>
      <c r="P51" s="2" t="s">
        <v>153</v>
      </c>
      <c r="R51" s="383"/>
      <c r="S51" s="383"/>
      <c r="T51" s="2" t="s">
        <v>106</v>
      </c>
      <c r="W51" s="4" t="s">
        <v>106</v>
      </c>
      <c r="X51" s="348" t="s">
        <v>106</v>
      </c>
      <c r="Y51" s="348"/>
      <c r="Z51" s="25"/>
      <c r="AA51" s="66"/>
    </row>
    <row r="52" spans="2:27" ht="14.1" customHeight="1">
      <c r="B52" s="344"/>
      <c r="C52" s="9"/>
      <c r="I52" s="16"/>
      <c r="K52" s="70" t="s">
        <v>94</v>
      </c>
      <c r="L52" s="16"/>
      <c r="N52" s="339"/>
      <c r="O52" s="339"/>
      <c r="P52" s="2" t="s">
        <v>42</v>
      </c>
      <c r="R52" s="25"/>
      <c r="S52" s="25"/>
      <c r="Y52" s="25"/>
      <c r="Z52" s="25"/>
      <c r="AA52" s="66"/>
    </row>
    <row r="53" spans="2:27" ht="14.1" customHeight="1">
      <c r="B53" s="345"/>
      <c r="C53" s="10" t="s">
        <v>88</v>
      </c>
      <c r="D53" s="11"/>
      <c r="E53" s="11"/>
      <c r="F53" s="11"/>
      <c r="G53" s="11"/>
      <c r="H53" s="355">
        <v>15</v>
      </c>
      <c r="I53" s="355"/>
      <c r="J53" s="11" t="s">
        <v>46</v>
      </c>
      <c r="K53" s="71" t="s">
        <v>95</v>
      </c>
      <c r="L53" s="11"/>
      <c r="M53" s="11"/>
      <c r="N53" s="319">
        <v>400</v>
      </c>
      <c r="O53" s="319"/>
      <c r="P53" s="11" t="s">
        <v>42</v>
      </c>
      <c r="Q53" s="11"/>
      <c r="R53" s="67"/>
      <c r="S53" s="113" t="s">
        <v>156</v>
      </c>
      <c r="T53" s="11"/>
      <c r="U53" s="11"/>
      <c r="V53" s="319">
        <v>445</v>
      </c>
      <c r="W53" s="319"/>
      <c r="X53" s="11" t="s">
        <v>42</v>
      </c>
      <c r="Y53" s="11"/>
      <c r="Z53" s="67"/>
      <c r="AA53" s="68"/>
    </row>
    <row r="54" spans="2:27" ht="12.6" customHeight="1">
      <c r="B54" s="5" t="s">
        <v>105</v>
      </c>
      <c r="C54" s="6"/>
      <c r="D54" s="6"/>
      <c r="E54" s="6"/>
      <c r="F54" s="6"/>
      <c r="G54" s="6"/>
      <c r="H54" s="6"/>
      <c r="I54" s="6"/>
      <c r="J54" s="6"/>
      <c r="M54" s="53"/>
      <c r="Y54" s="16"/>
      <c r="Z54" s="16"/>
      <c r="AA54" s="112"/>
    </row>
    <row r="55" spans="2:27" ht="13.5" customHeight="1">
      <c r="B55" s="9"/>
      <c r="C55" s="40"/>
      <c r="D55" s="75" t="s">
        <v>100</v>
      </c>
      <c r="E55" s="43"/>
      <c r="F55" s="43"/>
      <c r="G55" s="44" t="s">
        <v>92</v>
      </c>
      <c r="H55" s="45"/>
      <c r="I55" s="46"/>
      <c r="J55" s="75" t="s">
        <v>101</v>
      </c>
      <c r="K55" s="16"/>
      <c r="L55" s="16"/>
      <c r="M55" s="16"/>
      <c r="N55" s="44"/>
      <c r="O55" s="45"/>
      <c r="P55" s="69" t="s">
        <v>93</v>
      </c>
      <c r="Q55" s="45"/>
      <c r="R55" s="46"/>
      <c r="S55" s="79" t="s">
        <v>148</v>
      </c>
      <c r="T55" s="80"/>
      <c r="U55" s="81"/>
      <c r="V55" s="79" t="s">
        <v>149</v>
      </c>
      <c r="W55" s="80"/>
      <c r="X55" s="81"/>
      <c r="Y55" s="83" t="s">
        <v>106</v>
      </c>
      <c r="Z55" s="83"/>
      <c r="AA55" s="18"/>
    </row>
    <row r="56" spans="2:27" ht="13.5" customHeight="1">
      <c r="B56" s="9"/>
      <c r="C56" s="40"/>
      <c r="D56" s="75" t="s">
        <v>99</v>
      </c>
      <c r="G56" s="562" t="s">
        <v>211</v>
      </c>
      <c r="H56" s="563"/>
      <c r="I56" s="564"/>
      <c r="K56" s="1"/>
      <c r="L56" s="17" t="s">
        <v>85</v>
      </c>
      <c r="M56" s="43"/>
      <c r="N56" s="565" t="s">
        <v>212</v>
      </c>
      <c r="O56" s="566"/>
      <c r="P56" s="566"/>
      <c r="Q56" s="566"/>
      <c r="R56" s="567"/>
      <c r="S56" s="568">
        <v>4500</v>
      </c>
      <c r="T56" s="569"/>
      <c r="U56" s="47" t="s">
        <v>28</v>
      </c>
      <c r="V56" s="568">
        <v>220</v>
      </c>
      <c r="W56" s="569"/>
      <c r="X56" s="47" t="s">
        <v>28</v>
      </c>
      <c r="Y56" s="76"/>
      <c r="Z56" s="76"/>
      <c r="AA56" s="18"/>
    </row>
    <row r="57" spans="2:27" ht="13.5" customHeight="1">
      <c r="B57" s="9"/>
      <c r="C57" s="40"/>
      <c r="D57" s="75" t="s">
        <v>98</v>
      </c>
      <c r="G57" s="349"/>
      <c r="H57" s="350"/>
      <c r="I57" s="351"/>
      <c r="K57" s="1"/>
      <c r="L57" s="17" t="s">
        <v>85</v>
      </c>
      <c r="M57" s="43"/>
      <c r="N57" s="352"/>
      <c r="O57" s="353"/>
      <c r="P57" s="353"/>
      <c r="Q57" s="353"/>
      <c r="R57" s="354"/>
      <c r="S57" s="320"/>
      <c r="T57" s="321"/>
      <c r="U57" s="47" t="s">
        <v>28</v>
      </c>
      <c r="V57" s="320"/>
      <c r="W57" s="321"/>
      <c r="X57" s="47" t="s">
        <v>28</v>
      </c>
      <c r="Y57" s="76"/>
      <c r="Z57" s="76"/>
      <c r="AA57" s="18"/>
    </row>
    <row r="58" spans="2:27" ht="13.5" customHeight="1">
      <c r="B58" s="82" t="s">
        <v>103</v>
      </c>
      <c r="G58" s="349"/>
      <c r="H58" s="350"/>
      <c r="I58" s="351"/>
      <c r="K58" s="1"/>
      <c r="L58" s="17" t="s">
        <v>85</v>
      </c>
      <c r="M58" s="43"/>
      <c r="N58" s="352"/>
      <c r="O58" s="353"/>
      <c r="P58" s="353"/>
      <c r="Q58" s="353"/>
      <c r="R58" s="354"/>
      <c r="S58" s="320"/>
      <c r="T58" s="321"/>
      <c r="U58" s="47" t="s">
        <v>28</v>
      </c>
      <c r="V58" s="320"/>
      <c r="W58" s="321"/>
      <c r="X58" s="47" t="s">
        <v>28</v>
      </c>
      <c r="Y58" s="76"/>
      <c r="Z58" s="76"/>
      <c r="AA58" s="18"/>
    </row>
    <row r="59" spans="2:27" ht="13.5" customHeight="1">
      <c r="B59" s="9"/>
      <c r="G59" s="349"/>
      <c r="H59" s="350"/>
      <c r="I59" s="351"/>
      <c r="K59" s="1"/>
      <c r="L59" s="17" t="s">
        <v>85</v>
      </c>
      <c r="M59" s="43"/>
      <c r="N59" s="352"/>
      <c r="O59" s="353"/>
      <c r="P59" s="353"/>
      <c r="Q59" s="353"/>
      <c r="R59" s="354"/>
      <c r="S59" s="320"/>
      <c r="T59" s="321"/>
      <c r="U59" s="47" t="s">
        <v>28</v>
      </c>
      <c r="V59" s="320"/>
      <c r="W59" s="321"/>
      <c r="X59" s="47" t="s">
        <v>28</v>
      </c>
      <c r="Y59" s="76"/>
      <c r="Z59" s="76"/>
      <c r="AA59" s="18"/>
    </row>
    <row r="60" spans="2:27" ht="13.5" customHeight="1">
      <c r="B60" s="9"/>
      <c r="H60" s="75"/>
      <c r="I60" s="75"/>
      <c r="L60" s="17"/>
      <c r="M60" s="43"/>
      <c r="N60" s="75" t="s">
        <v>102</v>
      </c>
      <c r="O60" s="17"/>
      <c r="P60" s="77"/>
      <c r="Q60" s="77"/>
      <c r="R60" s="77"/>
      <c r="S60" s="77"/>
      <c r="T60" s="77"/>
      <c r="U60" s="78"/>
      <c r="V60" s="78"/>
      <c r="W60" s="76"/>
      <c r="X60" s="78"/>
      <c r="Y60" s="78"/>
      <c r="Z60" s="76"/>
      <c r="AA60" s="18"/>
    </row>
    <row r="61" spans="2:27" ht="5.0999999999999996" customHeight="1">
      <c r="B61" s="10"/>
      <c r="C61" s="11"/>
      <c r="D61" s="11"/>
      <c r="E61" s="11"/>
      <c r="F61" s="11"/>
      <c r="G61" s="11"/>
      <c r="H61" s="11"/>
      <c r="I61" s="11"/>
      <c r="J61" s="11"/>
      <c r="K61" s="11"/>
      <c r="L61" s="11"/>
      <c r="M61" s="11"/>
      <c r="N61" s="11"/>
      <c r="O61" s="11"/>
      <c r="P61" s="11"/>
      <c r="Q61" s="11"/>
      <c r="R61" s="11"/>
      <c r="S61" s="11"/>
      <c r="T61" s="11"/>
      <c r="U61" s="11"/>
      <c r="V61" s="11"/>
      <c r="W61" s="11"/>
      <c r="X61" s="11"/>
      <c r="Y61" s="11"/>
      <c r="Z61" s="11"/>
      <c r="AA61" s="19"/>
    </row>
    <row r="62" spans="2:27" ht="12" customHeight="1">
      <c r="B62" s="77" t="s">
        <v>150</v>
      </c>
      <c r="Y62" s="77" t="s">
        <v>151</v>
      </c>
    </row>
    <row r="63" spans="2:27" ht="12.95" customHeight="1">
      <c r="B63" s="48" t="s">
        <v>96</v>
      </c>
      <c r="C63" s="49"/>
      <c r="D63" s="49"/>
      <c r="E63" s="49"/>
      <c r="F63" s="49"/>
      <c r="G63" s="49"/>
      <c r="H63" s="49"/>
      <c r="I63" s="49"/>
      <c r="J63" s="49"/>
      <c r="K63" s="49"/>
      <c r="L63" s="49"/>
      <c r="M63" s="49"/>
      <c r="N63" s="49"/>
      <c r="O63" s="49"/>
      <c r="P63" s="49"/>
      <c r="Q63" s="49"/>
      <c r="R63" s="49"/>
      <c r="S63" s="49"/>
      <c r="T63" s="49"/>
      <c r="U63" s="49"/>
      <c r="V63" s="49"/>
      <c r="W63" s="49"/>
      <c r="X63" s="49"/>
      <c r="Y63" s="49"/>
      <c r="Z63" s="49"/>
      <c r="AA63" s="49"/>
    </row>
  </sheetData>
  <mergeCells count="69">
    <mergeCell ref="G56:I56"/>
    <mergeCell ref="N56:R56"/>
    <mergeCell ref="S56:T56"/>
    <mergeCell ref="V56:W56"/>
    <mergeCell ref="G59:I59"/>
    <mergeCell ref="N59:R59"/>
    <mergeCell ref="S59:T59"/>
    <mergeCell ref="V59:W59"/>
    <mergeCell ref="G57:I57"/>
    <mergeCell ref="N57:R57"/>
    <mergeCell ref="S57:T57"/>
    <mergeCell ref="V57:W57"/>
    <mergeCell ref="G58:I58"/>
    <mergeCell ref="N58:R58"/>
    <mergeCell ref="S58:T58"/>
    <mergeCell ref="V58:W58"/>
    <mergeCell ref="B49:B53"/>
    <mergeCell ref="H50:I50"/>
    <mergeCell ref="N50:O50"/>
    <mergeCell ref="R50:S50"/>
    <mergeCell ref="X50:Y50"/>
    <mergeCell ref="N51:O51"/>
    <mergeCell ref="R51:S51"/>
    <mergeCell ref="X51:Y51"/>
    <mergeCell ref="N52:O52"/>
    <mergeCell ref="H53:I53"/>
    <mergeCell ref="N53:O53"/>
    <mergeCell ref="V53:W53"/>
    <mergeCell ref="B35:B48"/>
    <mergeCell ref="C36:Q42"/>
    <mergeCell ref="V38:AA38"/>
    <mergeCell ref="U42:V42"/>
    <mergeCell ref="Y42:Z42"/>
    <mergeCell ref="C44:Q48"/>
    <mergeCell ref="R46:AA48"/>
    <mergeCell ref="B20:B34"/>
    <mergeCell ref="C21:Q34"/>
    <mergeCell ref="T34:U34"/>
    <mergeCell ref="Y34:Z34"/>
    <mergeCell ref="B16:B19"/>
    <mergeCell ref="C17:F17"/>
    <mergeCell ref="H17:K17"/>
    <mergeCell ref="M17:N17"/>
    <mergeCell ref="P17:Q17"/>
    <mergeCell ref="S17:T17"/>
    <mergeCell ref="V17:W17"/>
    <mergeCell ref="Y17:Z17"/>
    <mergeCell ref="V18:Z18"/>
    <mergeCell ref="C19:G19"/>
    <mergeCell ref="H19:L19"/>
    <mergeCell ref="B12:B15"/>
    <mergeCell ref="G12:M13"/>
    <mergeCell ref="Q12:T13"/>
    <mergeCell ref="V13:Y13"/>
    <mergeCell ref="Z13:AA13"/>
    <mergeCell ref="O14:R14"/>
    <mergeCell ref="T14:W14"/>
    <mergeCell ref="H15:K15"/>
    <mergeCell ref="P15:Q15"/>
    <mergeCell ref="U15:Y15"/>
    <mergeCell ref="F1:S3"/>
    <mergeCell ref="X4:AA4"/>
    <mergeCell ref="T5:Y5"/>
    <mergeCell ref="T6:Y6"/>
    <mergeCell ref="F7:I7"/>
    <mergeCell ref="P7:S7"/>
    <mergeCell ref="T7:V7"/>
    <mergeCell ref="W7:Y7"/>
    <mergeCell ref="Z7:AA7"/>
  </mergeCells>
  <dataValidations count="13">
    <dataValidation type="textLength" imeMode="hiragana" allowBlank="1" showErrorMessage="1" errorTitle="入力値エラー" error="「希望メーカー」は入力桁数オーバーです" sqref="U36:AA36" xr:uid="{00000000-0002-0000-0500-000000000000}">
      <formula1>0</formula1>
      <formula2>40</formula2>
    </dataValidation>
    <dataValidation type="textLength" imeMode="hiragana" allowBlank="1" showInputMessage="1" showErrorMessage="1" errorTitle="入力値エラー" error="「設備名」は入力桁数オーバーです" sqref="E12 G12" xr:uid="{00000000-0002-0000-0500-000001000000}">
      <formula1>0</formula1>
      <formula2>100</formula2>
    </dataValidation>
    <dataValidation type="whole" imeMode="disabled" showInputMessage="1" showErrorMessage="1" errorTitle="入力値エラー" error="「設置台数」は上限３桁の数字項目です" sqref="D15" xr:uid="{00000000-0002-0000-0500-000002000000}">
      <formula1>0</formula1>
      <formula2>999</formula2>
    </dataValidation>
    <dataValidation type="textLength" imeMode="disabled" showInputMessage="1" showErrorMessage="1" errorTitle="入力値エラー" error="「設置部門No」は入力桁数オーバーです" sqref="P15:Q15" xr:uid="{00000000-0002-0000-0500-000003000000}">
      <formula1>0</formula1>
      <formula2>4</formula2>
    </dataValidation>
    <dataValidation type="whole" imeMode="disabled" showInputMessage="1" showErrorMessage="1" errorTitle="入力値エラー" error="「予算金額」は上限９桁の数字項目です" sqref="C17:F17" xr:uid="{00000000-0002-0000-0500-000004000000}">
      <formula1>0</formula1>
      <formula2>999999999</formula2>
    </dataValidation>
    <dataValidation type="whole" imeMode="disabled" showInputMessage="1" showErrorMessage="1" errorTitle="入力値エラー" error="「申請金額」は上限９桁の数字項目です" sqref="H17:K17" xr:uid="{00000000-0002-0000-0500-000005000000}">
      <formula1>0</formula1>
      <formula2>999999999</formula2>
    </dataValidation>
    <dataValidation type="whole" imeMode="disabled" showInputMessage="1" showErrorMessage="1" errorTitle="入力値エラー" error="「経費金額」は上限９桁の数字項目です" sqref="V17:W17" xr:uid="{00000000-0002-0000-0500-000006000000}">
      <formula1>0</formula1>
      <formula2>999999999</formula2>
    </dataValidation>
    <dataValidation type="whole" imeMode="disabled" showInputMessage="1" showErrorMessage="1" errorTitle="入力値エラー" error="「内ソフト費」は上限９桁の数字項目です" sqref="Y17:Z17" xr:uid="{00000000-0002-0000-0500-000007000000}">
      <formula1>0</formula1>
      <formula2>999999999</formula2>
    </dataValidation>
    <dataValidation type="textLength" imeMode="disabled" showInputMessage="1" showErrorMessage="1" errorTitle="入力値エラー" error="「予算整理No」は入力桁数オーバーです" sqref="V18" xr:uid="{00000000-0002-0000-0500-000008000000}">
      <formula1>0</formula1>
      <formula2>12</formula2>
    </dataValidation>
    <dataValidation type="decimal" imeMode="disabled" showInputMessage="1" showErrorMessage="1" errorTitle="入力値エラー" error="「製品寿命」は上限９９９．９９までの数値項目です" sqref="H53:I53" xr:uid="{00000000-0002-0000-0500-000009000000}">
      <formula1>0</formula1>
      <formula2>999.99</formula2>
    </dataValidation>
    <dataValidation type="decimal" imeMode="disabled" showInputMessage="1" showErrorMessage="1" errorTitle="入力値エラー" error="「省資源」は上限９９９．９９までの数値項目です" sqref="N50:O51" xr:uid="{00000000-0002-0000-0500-00000A000000}">
      <formula1>0</formula1>
      <formula2>999999999.9</formula2>
    </dataValidation>
    <dataValidation type="decimal" imeMode="disabled" showInputMessage="1" showErrorMessage="1" errorTitle="入力値エラー" error="「省エネ」は上限９９９．９９までの数値項目です" sqref="N52:O52" xr:uid="{00000000-0002-0000-0500-00000B000000}">
      <formula1>0</formula1>
      <formula2>999999999.9</formula2>
    </dataValidation>
    <dataValidation type="decimal" imeMode="disabled" showInputMessage="1" showErrorMessage="1" errorTitle="入力値エラー" error="「設備コストダウン」は上限９９９．９９までの数値項目です" sqref="U42:V42" xr:uid="{00000000-0002-0000-0500-00000C000000}">
      <formula1>0</formula1>
      <formula2>999999999.9</formula2>
    </dataValidation>
  </dataValidations>
  <printOptions horizontalCentered="1" verticalCentered="1"/>
  <pageMargins left="0" right="0" top="0" bottom="0" header="0" footer="0"/>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4337" r:id="rId4" name="Check Box 1">
              <controlPr defaultSize="0" autoFill="0" autoLine="0" autoPict="0">
                <anchor moveWithCells="1">
                  <from>
                    <xdr:col>18</xdr:col>
                    <xdr:colOff>28575</xdr:colOff>
                    <xdr:row>38</xdr:row>
                    <xdr:rowOff>152400</xdr:rowOff>
                  </from>
                  <to>
                    <xdr:col>19</xdr:col>
                    <xdr:colOff>57150</xdr:colOff>
                    <xdr:row>40</xdr:row>
                    <xdr:rowOff>19050</xdr:rowOff>
                  </to>
                </anchor>
              </controlPr>
            </control>
          </mc:Choice>
        </mc:AlternateContent>
        <mc:AlternateContent xmlns:mc="http://schemas.openxmlformats.org/markup-compatibility/2006">
          <mc:Choice Requires="x14">
            <control shapeId="14338" r:id="rId5" name="Check Box 2">
              <controlPr defaultSize="0" autoFill="0" autoLine="0" autoPict="0">
                <anchor moveWithCells="1">
                  <from>
                    <xdr:col>21</xdr:col>
                    <xdr:colOff>28575</xdr:colOff>
                    <xdr:row>38</xdr:row>
                    <xdr:rowOff>152400</xdr:rowOff>
                  </from>
                  <to>
                    <xdr:col>22</xdr:col>
                    <xdr:colOff>9525</xdr:colOff>
                    <xdr:row>40</xdr:row>
                    <xdr:rowOff>19050</xdr:rowOff>
                  </to>
                </anchor>
              </controlPr>
            </control>
          </mc:Choice>
        </mc:AlternateContent>
        <mc:AlternateContent xmlns:mc="http://schemas.openxmlformats.org/markup-compatibility/2006">
          <mc:Choice Requires="x14">
            <control shapeId="14339" r:id="rId6" name="Check Box 3">
              <controlPr defaultSize="0" autoFill="0" autoLine="0" autoPict="0" macro="[0]!チェック21_Click">
                <anchor moveWithCells="1">
                  <from>
                    <xdr:col>2</xdr:col>
                    <xdr:colOff>28575</xdr:colOff>
                    <xdr:row>53</xdr:row>
                    <xdr:rowOff>133350</xdr:rowOff>
                  </from>
                  <to>
                    <xdr:col>3</xdr:col>
                    <xdr:colOff>57150</xdr:colOff>
                    <xdr:row>55</xdr:row>
                    <xdr:rowOff>19050</xdr:rowOff>
                  </to>
                </anchor>
              </controlPr>
            </control>
          </mc:Choice>
        </mc:AlternateContent>
        <mc:AlternateContent xmlns:mc="http://schemas.openxmlformats.org/markup-compatibility/2006">
          <mc:Choice Requires="x14">
            <control shapeId="14340" r:id="rId7" name="Check Box 4">
              <controlPr defaultSize="0" autoFill="0" autoLine="0" autoPict="0" macro="[0]!チェック22_Click">
                <anchor moveWithCells="1">
                  <from>
                    <xdr:col>2</xdr:col>
                    <xdr:colOff>28575</xdr:colOff>
                    <xdr:row>54</xdr:row>
                    <xdr:rowOff>152400</xdr:rowOff>
                  </from>
                  <to>
                    <xdr:col>3</xdr:col>
                    <xdr:colOff>57150</xdr:colOff>
                    <xdr:row>56</xdr:row>
                    <xdr:rowOff>19050</xdr:rowOff>
                  </to>
                </anchor>
              </controlPr>
            </control>
          </mc:Choice>
        </mc:AlternateContent>
        <mc:AlternateContent xmlns:mc="http://schemas.openxmlformats.org/markup-compatibility/2006">
          <mc:Choice Requires="x14">
            <control shapeId="14341" r:id="rId8" name="Check Box 5">
              <controlPr defaultSize="0" autoFill="0" autoLine="0" autoPict="0" macro="[0]!チェック23_Click">
                <anchor moveWithCells="1">
                  <from>
                    <xdr:col>2</xdr:col>
                    <xdr:colOff>28575</xdr:colOff>
                    <xdr:row>55</xdr:row>
                    <xdr:rowOff>152400</xdr:rowOff>
                  </from>
                  <to>
                    <xdr:col>3</xdr:col>
                    <xdr:colOff>57150</xdr:colOff>
                    <xdr:row>57</xdr:row>
                    <xdr:rowOff>19050</xdr:rowOff>
                  </to>
                </anchor>
              </controlPr>
            </control>
          </mc:Choice>
        </mc:AlternateContent>
        <mc:AlternateContent xmlns:mc="http://schemas.openxmlformats.org/markup-compatibility/2006">
          <mc:Choice Requires="x14">
            <control shapeId="14342" r:id="rId9" name="チェック8">
              <controlPr defaultSize="0" autoFill="0" autoLine="0" autoPict="0" macro="[0]!チェック8_Click">
                <anchor moveWithCells="1">
                  <from>
                    <xdr:col>17</xdr:col>
                    <xdr:colOff>38100</xdr:colOff>
                    <xdr:row>16</xdr:row>
                    <xdr:rowOff>238125</xdr:rowOff>
                  </from>
                  <to>
                    <xdr:col>18</xdr:col>
                    <xdr:colOff>66675</xdr:colOff>
                    <xdr:row>18</xdr:row>
                    <xdr:rowOff>28575</xdr:rowOff>
                  </to>
                </anchor>
              </controlPr>
            </control>
          </mc:Choice>
        </mc:AlternateContent>
        <mc:AlternateContent xmlns:mc="http://schemas.openxmlformats.org/markup-compatibility/2006">
          <mc:Choice Requires="x14">
            <control shapeId="14343" r:id="rId10" name="チェック9">
              <controlPr defaultSize="0" autoFill="0" autoLine="0" autoPict="0" macro="[0]!チェック9_Click">
                <anchor moveWithCells="1">
                  <from>
                    <xdr:col>17</xdr:col>
                    <xdr:colOff>38100</xdr:colOff>
                    <xdr:row>17</xdr:row>
                    <xdr:rowOff>161925</xdr:rowOff>
                  </from>
                  <to>
                    <xdr:col>18</xdr:col>
                    <xdr:colOff>66675</xdr:colOff>
                    <xdr:row>19</xdr:row>
                    <xdr:rowOff>9525</xdr:rowOff>
                  </to>
                </anchor>
              </controlPr>
            </control>
          </mc:Choice>
        </mc:AlternateContent>
        <mc:AlternateContent xmlns:mc="http://schemas.openxmlformats.org/markup-compatibility/2006">
          <mc:Choice Requires="x14">
            <control shapeId="14344" r:id="rId11" name="Check Box 8">
              <controlPr defaultSize="0" autoFill="0" autoLine="0" autoPict="0">
                <anchor moveWithCells="1">
                  <from>
                    <xdr:col>18</xdr:col>
                    <xdr:colOff>19050</xdr:colOff>
                    <xdr:row>43</xdr:row>
                    <xdr:rowOff>0</xdr:rowOff>
                  </from>
                  <to>
                    <xdr:col>19</xdr:col>
                    <xdr:colOff>47625</xdr:colOff>
                    <xdr:row>44</xdr:row>
                    <xdr:rowOff>38100</xdr:rowOff>
                  </to>
                </anchor>
              </controlPr>
            </control>
          </mc:Choice>
        </mc:AlternateContent>
        <mc:AlternateContent xmlns:mc="http://schemas.openxmlformats.org/markup-compatibility/2006">
          <mc:Choice Requires="x14">
            <control shapeId="14345" r:id="rId12" name="Check Box 9">
              <controlPr defaultSize="0" autoFill="0" autoLine="0" autoPict="0">
                <anchor moveWithCells="1">
                  <from>
                    <xdr:col>18</xdr:col>
                    <xdr:colOff>19050</xdr:colOff>
                    <xdr:row>43</xdr:row>
                    <xdr:rowOff>152400</xdr:rowOff>
                  </from>
                  <to>
                    <xdr:col>19</xdr:col>
                    <xdr:colOff>47625</xdr:colOff>
                    <xdr:row>45</xdr:row>
                    <xdr:rowOff>19050</xdr:rowOff>
                  </to>
                </anchor>
              </controlPr>
            </control>
          </mc:Choice>
        </mc:AlternateContent>
        <mc:AlternateContent xmlns:mc="http://schemas.openxmlformats.org/markup-compatibility/2006">
          <mc:Choice Requires="x14">
            <control shapeId="14346" r:id="rId13" name="Check Box 10">
              <controlPr defaultSize="0" autoFill="0" autoLine="0" autoPict="0">
                <anchor moveWithCells="1">
                  <from>
                    <xdr:col>24</xdr:col>
                    <xdr:colOff>28575</xdr:colOff>
                    <xdr:row>43</xdr:row>
                    <xdr:rowOff>152400</xdr:rowOff>
                  </from>
                  <to>
                    <xdr:col>25</xdr:col>
                    <xdr:colOff>57150</xdr:colOff>
                    <xdr:row>45</xdr:row>
                    <xdr:rowOff>19050</xdr:rowOff>
                  </to>
                </anchor>
              </controlPr>
            </control>
          </mc:Choice>
        </mc:AlternateContent>
        <mc:AlternateContent xmlns:mc="http://schemas.openxmlformats.org/markup-compatibility/2006">
          <mc:Choice Requires="x14">
            <control shapeId="14347" r:id="rId14" name="Check Box 11">
              <controlPr defaultSize="0" autoFill="0" autoLine="0" autoPict="0" macro="[0]!チェック25_Click">
                <anchor moveWithCells="1">
                  <from>
                    <xdr:col>10</xdr:col>
                    <xdr:colOff>19050</xdr:colOff>
                    <xdr:row>54</xdr:row>
                    <xdr:rowOff>152400</xdr:rowOff>
                  </from>
                  <to>
                    <xdr:col>11</xdr:col>
                    <xdr:colOff>47625</xdr:colOff>
                    <xdr:row>56</xdr:row>
                    <xdr:rowOff>19050</xdr:rowOff>
                  </to>
                </anchor>
              </controlPr>
            </control>
          </mc:Choice>
        </mc:AlternateContent>
        <mc:AlternateContent xmlns:mc="http://schemas.openxmlformats.org/markup-compatibility/2006">
          <mc:Choice Requires="x14">
            <control shapeId="14348" r:id="rId15" name="Check Box 12">
              <controlPr defaultSize="0" autoFill="0" autoLine="0" autoPict="0" macro="[0]!チェック27_Click">
                <anchor moveWithCells="1">
                  <from>
                    <xdr:col>10</xdr:col>
                    <xdr:colOff>19050</xdr:colOff>
                    <xdr:row>55</xdr:row>
                    <xdr:rowOff>142875</xdr:rowOff>
                  </from>
                  <to>
                    <xdr:col>11</xdr:col>
                    <xdr:colOff>85725</xdr:colOff>
                    <xdr:row>57</xdr:row>
                    <xdr:rowOff>28575</xdr:rowOff>
                  </to>
                </anchor>
              </controlPr>
            </control>
          </mc:Choice>
        </mc:AlternateContent>
        <mc:AlternateContent xmlns:mc="http://schemas.openxmlformats.org/markup-compatibility/2006">
          <mc:Choice Requires="x14">
            <control shapeId="14349" r:id="rId16" name="Check Box 13">
              <controlPr defaultSize="0" autoFill="0" autoLine="0" autoPict="0" macro="[0]!チェック29_Click">
                <anchor moveWithCells="1">
                  <from>
                    <xdr:col>10</xdr:col>
                    <xdr:colOff>19050</xdr:colOff>
                    <xdr:row>56</xdr:row>
                    <xdr:rowOff>152400</xdr:rowOff>
                  </from>
                  <to>
                    <xdr:col>11</xdr:col>
                    <xdr:colOff>38100</xdr:colOff>
                    <xdr:row>58</xdr:row>
                    <xdr:rowOff>19050</xdr:rowOff>
                  </to>
                </anchor>
              </controlPr>
            </control>
          </mc:Choice>
        </mc:AlternateContent>
        <mc:AlternateContent xmlns:mc="http://schemas.openxmlformats.org/markup-compatibility/2006">
          <mc:Choice Requires="x14">
            <control shapeId="14350" r:id="rId17" name="Check Box 14">
              <controlPr defaultSize="0" autoFill="0" autoLine="0" autoPict="0" macro="[0]!チェック28_Click">
                <anchor moveWithCells="1">
                  <from>
                    <xdr:col>10</xdr:col>
                    <xdr:colOff>28575</xdr:colOff>
                    <xdr:row>57</xdr:row>
                    <xdr:rowOff>152400</xdr:rowOff>
                  </from>
                  <to>
                    <xdr:col>11</xdr:col>
                    <xdr:colOff>85725</xdr:colOff>
                    <xdr:row>59</xdr:row>
                    <xdr:rowOff>19050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6"/>
  <sheetViews>
    <sheetView workbookViewId="0">
      <selection activeCell="N14" sqref="N14"/>
    </sheetView>
  </sheetViews>
  <sheetFormatPr defaultRowHeight="13.5"/>
  <sheetData>
    <row r="1" spans="2:4">
      <c r="C1" t="s">
        <v>390</v>
      </c>
      <c r="D1" t="s">
        <v>391</v>
      </c>
    </row>
    <row r="2" spans="2:4">
      <c r="B2" t="s">
        <v>385</v>
      </c>
      <c r="C2">
        <v>45</v>
      </c>
      <c r="D2">
        <f>C2-15</f>
        <v>30</v>
      </c>
    </row>
    <row r="3" spans="2:4">
      <c r="B3" t="s">
        <v>386</v>
      </c>
      <c r="C3">
        <v>44</v>
      </c>
      <c r="D3">
        <f t="shared" ref="D3:D6" si="0">C3-15</f>
        <v>29</v>
      </c>
    </row>
    <row r="4" spans="2:4">
      <c r="B4" t="s">
        <v>387</v>
      </c>
      <c r="C4">
        <v>46</v>
      </c>
      <c r="D4">
        <f t="shared" si="0"/>
        <v>31</v>
      </c>
    </row>
    <row r="5" spans="2:4">
      <c r="B5" t="s">
        <v>388</v>
      </c>
      <c r="C5">
        <v>43</v>
      </c>
      <c r="D5">
        <f t="shared" si="0"/>
        <v>28</v>
      </c>
    </row>
    <row r="6" spans="2:4">
      <c r="B6" t="s">
        <v>389</v>
      </c>
      <c r="C6">
        <v>44</v>
      </c>
      <c r="D6">
        <f t="shared" si="0"/>
        <v>29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2CF774BBCA33D48AAEC8274047D77EE" ma:contentTypeVersion="14" ma:contentTypeDescription="Create a new document." ma:contentTypeScope="" ma:versionID="db872596f01d349360c512bcbaedfaa0">
  <xsd:schema xmlns:xsd="http://www.w3.org/2001/XMLSchema" xmlns:xs="http://www.w3.org/2001/XMLSchema" xmlns:p="http://schemas.microsoft.com/office/2006/metadata/properties" xmlns:ns1="http://schemas.microsoft.com/sharepoint/v3" xmlns:ns2="1d0112a6-6730-4a41-a064-8b01976e5023" xmlns:ns3="7e8b3763-fc52-4540-a9ec-a309689da77f" targetNamespace="http://schemas.microsoft.com/office/2006/metadata/properties" ma:root="true" ma:fieldsID="c68b227a7f3e4de3e3d622ff74415cf6" ns1:_="" ns2:_="" ns3:_="">
    <xsd:import namespace="http://schemas.microsoft.com/sharepoint/v3"/>
    <xsd:import namespace="1d0112a6-6730-4a41-a064-8b01976e5023"/>
    <xsd:import namespace="7e8b3763-fc52-4540-a9ec-a309689da7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CR" minOccurs="0"/>
                <xsd:element ref="ns2:MediaServiceLocation" minOccurs="0"/>
                <xsd:element ref="ns1:PublishingStartDate" minOccurs="0"/>
                <xsd:element ref="ns1:PublishingExpirationDat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20"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21"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d0112a6-6730-4a41-a064-8b01976e50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8b3763-fc52-4540-a9ec-a309689da7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8302C6-40E0-4A04-920D-ABA22B0138BA}">
  <ds:schemaRefs>
    <ds:schemaRef ds:uri="http://schemas.microsoft.com/sharepoint/v3/contenttype/forms"/>
  </ds:schemaRefs>
</ds:datastoreItem>
</file>

<file path=customXml/itemProps2.xml><?xml version="1.0" encoding="utf-8"?>
<ds:datastoreItem xmlns:ds="http://schemas.openxmlformats.org/officeDocument/2006/customXml" ds:itemID="{06236BB5-7568-4100-BC5D-5F48C12EDF99}">
  <ds:schemaRef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1d0112a6-6730-4a41-a064-8b01976e5023"/>
    <ds:schemaRef ds:uri="http://schemas.microsoft.com/sharepoint/v3"/>
    <ds:schemaRef ds:uri="http://purl.org/dc/terms/"/>
    <ds:schemaRef ds:uri="http://schemas.openxmlformats.org/package/2006/metadata/core-properties"/>
    <ds:schemaRef ds:uri="7e8b3763-fc52-4540-a9ec-a309689da77f"/>
    <ds:schemaRef ds:uri="http://www.w3.org/XML/1998/namespace"/>
  </ds:schemaRefs>
</ds:datastoreItem>
</file>

<file path=customXml/itemProps3.xml><?xml version="1.0" encoding="utf-8"?>
<ds:datastoreItem xmlns:ds="http://schemas.openxmlformats.org/officeDocument/2006/customXml" ds:itemID="{6F94051E-B7FB-49D5-A0F5-2CD15BD46A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0112a6-6730-4a41-a064-8b01976e5023"/>
    <ds:schemaRef ds:uri="7e8b3763-fc52-4540-a9ec-a309689da7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52</vt:i4>
      </vt:variant>
    </vt:vector>
  </HeadingPairs>
  <TitlesOfParts>
    <vt:vector size="59" baseType="lpstr">
      <vt:lpstr>Pg1 Checklist</vt:lpstr>
      <vt:lpstr>Pg2 COVER SHEET</vt:lpstr>
      <vt:lpstr>Pg3 budget Control Sheet</vt:lpstr>
      <vt:lpstr>Pg4 Unplanned EIA Form</vt:lpstr>
      <vt:lpstr>Ref. infrm</vt:lpstr>
      <vt:lpstr>Pg1 Sample</vt:lpstr>
      <vt:lpstr>Sheet1</vt:lpstr>
      <vt:lpstr>'Pg1 Sample'!_tel1</vt:lpstr>
      <vt:lpstr>'Pg2 COVER SHEET'!_tel1</vt:lpstr>
      <vt:lpstr>'Pg1 Sample'!_tel2</vt:lpstr>
      <vt:lpstr>'Pg2 COVER SHEET'!_tel2</vt:lpstr>
      <vt:lpstr>'Pg1 Sample'!kaishuKikan</vt:lpstr>
      <vt:lpstr>'Pg2 COVER SHEET'!kaishuKikan</vt:lpstr>
      <vt:lpstr>'Pg1 Sample'!keihiKingaku</vt:lpstr>
      <vt:lpstr>'Pg2 COVER SHEET'!keihiKingaku</vt:lpstr>
      <vt:lpstr>'Pg1 Sample'!kenmei</vt:lpstr>
      <vt:lpstr>'Pg2 COVER SHEET'!kenmei</vt:lpstr>
      <vt:lpstr>'Pg1 Sample'!kensaKiji2</vt:lpstr>
      <vt:lpstr>'Pg2 COVER SHEET'!kensaKiji2</vt:lpstr>
      <vt:lpstr>'Pg1 Sample'!mailNo</vt:lpstr>
      <vt:lpstr>'Pg2 COVER SHEET'!mailNo</vt:lpstr>
      <vt:lpstr>'Pg1 Sample'!makermei1</vt:lpstr>
      <vt:lpstr>'Pg2 COVER SHEET'!makermei1</vt:lpstr>
      <vt:lpstr>'Pg1 Sample'!makermei2</vt:lpstr>
      <vt:lpstr>'Pg2 COVER SHEET'!makermei2</vt:lpstr>
      <vt:lpstr>'Pg1 Sample'!Print_Area</vt:lpstr>
      <vt:lpstr>'Pg2 COVER SHEET'!Print_Area</vt:lpstr>
      <vt:lpstr>'Pg3 budget Control Sheet'!Print_Area</vt:lpstr>
      <vt:lpstr>'Pg4 Unplanned EIA Form'!Print_Area</vt:lpstr>
      <vt:lpstr>'Pg1 Sample'!seihinJumyo</vt:lpstr>
      <vt:lpstr>'Pg2 COVER SHEET'!seihinJumyo</vt:lpstr>
      <vt:lpstr>'Pg1 Sample'!seihinmei</vt:lpstr>
      <vt:lpstr>'Pg2 COVER SHEET'!seihinmei</vt:lpstr>
      <vt:lpstr>'Pg1 Sample'!setchiBumonNo</vt:lpstr>
      <vt:lpstr>'Pg2 COVER SHEET'!setchiBumonNo</vt:lpstr>
      <vt:lpstr>'Pg1 Sample'!setchiDaisu</vt:lpstr>
      <vt:lpstr>'Pg2 COVER SHEET'!setchiDaisu</vt:lpstr>
      <vt:lpstr>'Pg1 Sample'!setchiJikiYear</vt:lpstr>
      <vt:lpstr>'Pg2 COVER SHEET'!setchiJikiYear</vt:lpstr>
      <vt:lpstr>'Pg1 Sample'!setsubiCostdown</vt:lpstr>
      <vt:lpstr>'Pg2 COVER SHEET'!setsubiCostdown</vt:lpstr>
      <vt:lpstr>'Pg1 Sample'!shinseiKingaku</vt:lpstr>
      <vt:lpstr>'Pg2 COVER SHEET'!shinseiKingaku</vt:lpstr>
      <vt:lpstr>'Pg1 Sample'!shouene</vt:lpstr>
      <vt:lpstr>'Pg2 COVER SHEET'!shouene</vt:lpstr>
      <vt:lpstr>'Pg1 Sample'!shouninzu</vt:lpstr>
      <vt:lpstr>'Pg2 COVER SHEET'!shouninzu</vt:lpstr>
      <vt:lpstr>'Pg1 Sample'!shoushigen</vt:lpstr>
      <vt:lpstr>'Pg2 COVER SHEET'!shoushigen</vt:lpstr>
      <vt:lpstr>'Pg1 Sample'!softKingaku</vt:lpstr>
      <vt:lpstr>'Pg2 COVER SHEET'!softKingaku</vt:lpstr>
      <vt:lpstr>'Pg1 Sample'!tantoshamei</vt:lpstr>
      <vt:lpstr>'Pg2 COVER SHEET'!tantoshamei</vt:lpstr>
      <vt:lpstr>'Pg1 Sample'!yosanKanriNo</vt:lpstr>
      <vt:lpstr>'Pg2 COVER SHEET'!yosanKanriNo</vt:lpstr>
      <vt:lpstr>'Pg1 Sample'!yosanKingaku</vt:lpstr>
      <vt:lpstr>'Pg2 COVER SHEET'!yosanKingaku</vt:lpstr>
      <vt:lpstr>'Pg1 Sample'!yosanSeiriNo</vt:lpstr>
      <vt:lpstr>'Pg2 COVER SHEET'!yosanSeiriNo</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生産管理部生産企画１</dc:creator>
  <cp:lastModifiedBy>Prashant Malik (DNHA)</cp:lastModifiedBy>
  <cp:lastPrinted>2023-10-11T05:23:47Z</cp:lastPrinted>
  <dcterms:created xsi:type="dcterms:W3CDTF">2001-02-15T09:29:19Z</dcterms:created>
  <dcterms:modified xsi:type="dcterms:W3CDTF">2023-12-11T07:11:36Z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0x01010022CF774BBCA33D48AAEC8274047D77EE</vt:lpwstr>
  </property>
  <property fmtid="{D5CDD505-2E9C-101B-9397-08002B2CF9AE}" pid="3" name="MSIP_Label_6add209e-37c4-4e15-ab1b-f9befe71def1_Enabled">
    <vt:lpwstr>true</vt:lpwstr>
  </property>
  <property fmtid="{D5CDD505-2E9C-101B-9397-08002B2CF9AE}" pid="4" name="MSIP_Label_6add209e-37c4-4e15-ab1b-f9befe71def1_SetDate">
    <vt:lpwstr>2023-12-11T06:20:26Z</vt:lpwstr>
  </property>
  <property fmtid="{D5CDD505-2E9C-101B-9397-08002B2CF9AE}" pid="5" name="MSIP_Label_6add209e-37c4-4e15-ab1b-f9befe71def1_Method">
    <vt:lpwstr>Standard</vt:lpwstr>
  </property>
  <property fmtid="{D5CDD505-2E9C-101B-9397-08002B2CF9AE}" pid="6" name="MSIP_Label_6add209e-37c4-4e15-ab1b-f9befe71def1_Name">
    <vt:lpwstr>G_MIP_Confidential_Exception</vt:lpwstr>
  </property>
  <property fmtid="{D5CDD505-2E9C-101B-9397-08002B2CF9AE}" pid="7" name="MSIP_Label_6add209e-37c4-4e15-ab1b-f9befe71def1_SiteId">
    <vt:lpwstr>69405920-b673-4f7c-8845-e124e9d08af2</vt:lpwstr>
  </property>
  <property fmtid="{D5CDD505-2E9C-101B-9397-08002B2CF9AE}" pid="8" name="MSIP_Label_6add209e-37c4-4e15-ab1b-f9befe71def1_ActionId">
    <vt:lpwstr>71dbf012-0f2a-47ef-9f65-0bb092c6d0bd</vt:lpwstr>
  </property>
  <property fmtid="{D5CDD505-2E9C-101B-9397-08002B2CF9AE}" pid="9" name="MSIP_Label_6add209e-37c4-4e15-ab1b-f9befe71def1_ContentBits">
    <vt:lpwstr>0</vt:lpwstr>
  </property>
</Properties>
</file>